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D:\GitHub\Dashboard Group Life Reserving\docs\"/>
    </mc:Choice>
  </mc:AlternateContent>
  <xr:revisionPtr revIDLastSave="0" documentId="13_ncr:1_{FAA2494E-4338-46FD-A637-EC5B36D2EA4A}" xr6:coauthVersionLast="47" xr6:coauthVersionMax="47" xr10:uidLastSave="{00000000-0000-0000-0000-000000000000}"/>
  <bookViews>
    <workbookView xWindow="4100" yWindow="680" windowWidth="18880" windowHeight="11770" tabRatio="930" activeTab="1" xr2:uid="{87F76F0D-C11A-4496-B3A1-E6E5292B3D01}"/>
  </bookViews>
  <sheets>
    <sheet name="CompleteAnalysis" sheetId="4" r:id="rId1"/>
    <sheet name="UNIT" sheetId="22" r:id="rId2"/>
    <sheet name="BOZZA TOOL" sheetId="24" r:id="rId3"/>
  </sheets>
  <functionGroups builtInGroupCount="19"/>
  <definedNames>
    <definedName name="en">#REF!,#REF!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34" i="22" l="1"/>
  <c r="AQ450" i="22"/>
  <c r="AP450" i="22"/>
  <c r="AO450" i="22"/>
  <c r="AN450" i="22"/>
  <c r="AM450" i="22"/>
  <c r="AL450" i="22"/>
  <c r="AK450" i="22"/>
  <c r="AJ450" i="22"/>
  <c r="AI450" i="22"/>
  <c r="AH450" i="22"/>
  <c r="AG450" i="22"/>
  <c r="AF450" i="22"/>
  <c r="AE450" i="22"/>
  <c r="AD450" i="22"/>
  <c r="AC450" i="22"/>
  <c r="AB450" i="22"/>
  <c r="AA450" i="22"/>
  <c r="Z450" i="22"/>
  <c r="Y450" i="22"/>
  <c r="X450" i="22"/>
  <c r="W450" i="22"/>
  <c r="V450" i="22"/>
  <c r="U450" i="22"/>
  <c r="T450" i="22"/>
  <c r="S450" i="22"/>
  <c r="R450" i="22"/>
  <c r="Q450" i="22"/>
  <c r="P450" i="22"/>
  <c r="O450" i="22"/>
  <c r="N450" i="22"/>
  <c r="M450" i="22"/>
  <c r="L450" i="22"/>
  <c r="K450" i="22"/>
  <c r="J450" i="22"/>
  <c r="I450" i="22"/>
  <c r="H450" i="22"/>
  <c r="G450" i="22"/>
  <c r="F450" i="22"/>
  <c r="E450" i="22"/>
  <c r="AQ449" i="22"/>
  <c r="AP449" i="22"/>
  <c r="AO449" i="22"/>
  <c r="AN449" i="22"/>
  <c r="AM449" i="22"/>
  <c r="AL449" i="22"/>
  <c r="AK449" i="22"/>
  <c r="AJ449" i="22"/>
  <c r="AI449" i="22"/>
  <c r="AH449" i="22"/>
  <c r="AG449" i="22"/>
  <c r="AF449" i="22"/>
  <c r="AE449" i="22"/>
  <c r="AD449" i="22"/>
  <c r="AC449" i="22"/>
  <c r="AB449" i="22"/>
  <c r="AA449" i="22"/>
  <c r="Z449" i="22"/>
  <c r="Y449" i="22"/>
  <c r="X449" i="22"/>
  <c r="W449" i="22"/>
  <c r="V449" i="22"/>
  <c r="U449" i="22"/>
  <c r="T449" i="22"/>
  <c r="S449" i="22"/>
  <c r="R449" i="22"/>
  <c r="Q449" i="22"/>
  <c r="P449" i="22"/>
  <c r="O449" i="22"/>
  <c r="N449" i="22"/>
  <c r="M449" i="22"/>
  <c r="L449" i="22"/>
  <c r="K449" i="22"/>
  <c r="J449" i="22"/>
  <c r="I449" i="22"/>
  <c r="H449" i="22"/>
  <c r="G449" i="22"/>
  <c r="F449" i="22"/>
  <c r="E449" i="22"/>
  <c r="AQ441" i="22"/>
  <c r="AP441" i="22"/>
  <c r="AO441" i="22"/>
  <c r="AN441" i="22"/>
  <c r="AM441" i="22"/>
  <c r="AL441" i="22"/>
  <c r="AK441" i="22"/>
  <c r="AJ441" i="22"/>
  <c r="AI441" i="22"/>
  <c r="AH441" i="22"/>
  <c r="AG441" i="22"/>
  <c r="AF441" i="22"/>
  <c r="AE441" i="22"/>
  <c r="AD441" i="22"/>
  <c r="AC441" i="22"/>
  <c r="AB441" i="22"/>
  <c r="AA441" i="22"/>
  <c r="Z441" i="22"/>
  <c r="Y441" i="22"/>
  <c r="X441" i="22"/>
  <c r="W441" i="22"/>
  <c r="V441" i="22"/>
  <c r="U441" i="22"/>
  <c r="T441" i="22"/>
  <c r="S441" i="22"/>
  <c r="R441" i="22"/>
  <c r="Q441" i="22"/>
  <c r="P441" i="22"/>
  <c r="O441" i="22"/>
  <c r="N441" i="22"/>
  <c r="M441" i="22"/>
  <c r="L441" i="22"/>
  <c r="K441" i="22"/>
  <c r="J441" i="22"/>
  <c r="I441" i="22"/>
  <c r="H441" i="22"/>
  <c r="G441" i="22"/>
  <c r="F441" i="22"/>
  <c r="E441" i="22"/>
  <c r="AQ440" i="22"/>
  <c r="AP440" i="22"/>
  <c r="AO440" i="22"/>
  <c r="AN440" i="22"/>
  <c r="AM440" i="22"/>
  <c r="AL440" i="22"/>
  <c r="AK440" i="22"/>
  <c r="AJ440" i="22"/>
  <c r="AI440" i="22"/>
  <c r="AH440" i="22"/>
  <c r="AG440" i="22"/>
  <c r="AF440" i="22"/>
  <c r="AE440" i="22"/>
  <c r="AD440" i="22"/>
  <c r="AC440" i="22"/>
  <c r="AB440" i="22"/>
  <c r="AA440" i="22"/>
  <c r="Z440" i="22"/>
  <c r="Y440" i="22"/>
  <c r="X440" i="22"/>
  <c r="W440" i="22"/>
  <c r="V440" i="22"/>
  <c r="U440" i="22"/>
  <c r="T440" i="22"/>
  <c r="S440" i="22"/>
  <c r="R440" i="22"/>
  <c r="Q440" i="22"/>
  <c r="P440" i="22"/>
  <c r="O440" i="22"/>
  <c r="N440" i="22"/>
  <c r="M440" i="22"/>
  <c r="L440" i="22"/>
  <c r="K440" i="22"/>
  <c r="J440" i="22"/>
  <c r="I440" i="22"/>
  <c r="H440" i="22"/>
  <c r="G440" i="22"/>
  <c r="F440" i="22"/>
  <c r="E440" i="22"/>
  <c r="AQ413" i="22"/>
  <c r="AP413" i="22"/>
  <c r="AO413" i="22"/>
  <c r="AN413" i="22"/>
  <c r="AM413" i="22"/>
  <c r="AL413" i="22"/>
  <c r="AK413" i="22"/>
  <c r="AJ413" i="22"/>
  <c r="AI413" i="22"/>
  <c r="AH413" i="22"/>
  <c r="AG413" i="22"/>
  <c r="AF413" i="22"/>
  <c r="AE413" i="22"/>
  <c r="AD413" i="22"/>
  <c r="AC413" i="22"/>
  <c r="AB413" i="22"/>
  <c r="AA413" i="22"/>
  <c r="Z413" i="22"/>
  <c r="Y413" i="22"/>
  <c r="X413" i="22"/>
  <c r="W413" i="22"/>
  <c r="V413" i="22"/>
  <c r="U413" i="22"/>
  <c r="T413" i="22"/>
  <c r="S413" i="22"/>
  <c r="R413" i="22"/>
  <c r="Q413" i="22"/>
  <c r="P413" i="22"/>
  <c r="O413" i="22"/>
  <c r="N413" i="22"/>
  <c r="M413" i="22"/>
  <c r="L413" i="22"/>
  <c r="K413" i="22"/>
  <c r="J413" i="22"/>
  <c r="I413" i="22"/>
  <c r="H413" i="22"/>
  <c r="G413" i="22"/>
  <c r="F413" i="22"/>
  <c r="E413" i="22"/>
  <c r="AQ412" i="22"/>
  <c r="AP412" i="22"/>
  <c r="AO412" i="22"/>
  <c r="AN412" i="22"/>
  <c r="AM412" i="22"/>
  <c r="AL412" i="22"/>
  <c r="AK412" i="22"/>
  <c r="AJ412" i="22"/>
  <c r="AI412" i="22"/>
  <c r="AH412" i="22"/>
  <c r="AG412" i="22"/>
  <c r="AF412" i="22"/>
  <c r="AE412" i="22"/>
  <c r="AD412" i="22"/>
  <c r="AC412" i="22"/>
  <c r="AB412" i="22"/>
  <c r="AA412" i="22"/>
  <c r="Z412" i="22"/>
  <c r="Y412" i="22"/>
  <c r="X412" i="22"/>
  <c r="W412" i="22"/>
  <c r="V412" i="22"/>
  <c r="U412" i="22"/>
  <c r="T412" i="22"/>
  <c r="S412" i="22"/>
  <c r="R412" i="22"/>
  <c r="Q412" i="22"/>
  <c r="P412" i="22"/>
  <c r="O412" i="22"/>
  <c r="N412" i="22"/>
  <c r="M412" i="22"/>
  <c r="L412" i="22"/>
  <c r="K412" i="22"/>
  <c r="J412" i="22"/>
  <c r="I412" i="22"/>
  <c r="H412" i="22"/>
  <c r="G412" i="22"/>
  <c r="F412" i="22"/>
  <c r="E412" i="22"/>
  <c r="AQ384" i="22"/>
  <c r="AP384" i="22"/>
  <c r="AO384" i="22"/>
  <c r="AN384" i="22"/>
  <c r="AM384" i="22"/>
  <c r="AL384" i="22"/>
  <c r="AK384" i="22"/>
  <c r="AJ384" i="22"/>
  <c r="AI384" i="22"/>
  <c r="AH384" i="22"/>
  <c r="AG384" i="22"/>
  <c r="AF384" i="22"/>
  <c r="AE384" i="22"/>
  <c r="AD384" i="22"/>
  <c r="AC384" i="22"/>
  <c r="AB384" i="22"/>
  <c r="AA384" i="22"/>
  <c r="Z384" i="22"/>
  <c r="Y384" i="22"/>
  <c r="X384" i="22"/>
  <c r="W384" i="22"/>
  <c r="V384" i="22"/>
  <c r="U384" i="22"/>
  <c r="T384" i="22"/>
  <c r="S384" i="22"/>
  <c r="R384" i="22"/>
  <c r="Q384" i="22"/>
  <c r="P384" i="22"/>
  <c r="O384" i="22"/>
  <c r="N384" i="22"/>
  <c r="M384" i="22"/>
  <c r="L384" i="22"/>
  <c r="K384" i="22"/>
  <c r="J384" i="22"/>
  <c r="I384" i="22"/>
  <c r="H384" i="22"/>
  <c r="G384" i="22"/>
  <c r="F384" i="22"/>
  <c r="E384" i="22"/>
  <c r="AQ383" i="22"/>
  <c r="AP383" i="22"/>
  <c r="AO383" i="22"/>
  <c r="AN383" i="22"/>
  <c r="AM383" i="22"/>
  <c r="AL383" i="22"/>
  <c r="AK383" i="22"/>
  <c r="AJ383" i="22"/>
  <c r="AI383" i="22"/>
  <c r="AH383" i="22"/>
  <c r="AG383" i="22"/>
  <c r="AF383" i="22"/>
  <c r="AE383" i="22"/>
  <c r="AD383" i="22"/>
  <c r="AC383" i="22"/>
  <c r="AB383" i="22"/>
  <c r="AA383" i="22"/>
  <c r="Z383" i="22"/>
  <c r="Y383" i="22"/>
  <c r="X383" i="22"/>
  <c r="W383" i="22"/>
  <c r="V383" i="22"/>
  <c r="U383" i="22"/>
  <c r="T383" i="22"/>
  <c r="S383" i="22"/>
  <c r="R383" i="22"/>
  <c r="Q383" i="22"/>
  <c r="P383" i="22"/>
  <c r="O383" i="22"/>
  <c r="N383" i="22"/>
  <c r="M383" i="22"/>
  <c r="L383" i="22"/>
  <c r="K383" i="22"/>
  <c r="J383" i="22"/>
  <c r="I383" i="22"/>
  <c r="H383" i="22"/>
  <c r="G383" i="22"/>
  <c r="F383" i="22"/>
  <c r="E383" i="22"/>
  <c r="AQ375" i="22"/>
  <c r="AP375" i="22"/>
  <c r="AO375" i="22"/>
  <c r="AN375" i="22"/>
  <c r="AM375" i="22"/>
  <c r="AL375" i="22"/>
  <c r="AK375" i="22"/>
  <c r="AJ375" i="22"/>
  <c r="AI375" i="22"/>
  <c r="AH375" i="22"/>
  <c r="AG375" i="22"/>
  <c r="AF375" i="22"/>
  <c r="AE375" i="22"/>
  <c r="AD375" i="22"/>
  <c r="AC375" i="22"/>
  <c r="AB375" i="22"/>
  <c r="AA375" i="22"/>
  <c r="Z375" i="22"/>
  <c r="Y375" i="22"/>
  <c r="X375" i="22"/>
  <c r="W375" i="22"/>
  <c r="V375" i="22"/>
  <c r="U375" i="22"/>
  <c r="T375" i="22"/>
  <c r="S375" i="22"/>
  <c r="R375" i="22"/>
  <c r="Q375" i="22"/>
  <c r="P375" i="22"/>
  <c r="O375" i="22"/>
  <c r="N375" i="22"/>
  <c r="M375" i="22"/>
  <c r="L375" i="22"/>
  <c r="K375" i="22"/>
  <c r="J375" i="22"/>
  <c r="I375" i="22"/>
  <c r="H375" i="22"/>
  <c r="G375" i="22"/>
  <c r="F375" i="22"/>
  <c r="E375" i="22"/>
  <c r="AQ374" i="22"/>
  <c r="AP374" i="22"/>
  <c r="AO374" i="22"/>
  <c r="AN374" i="22"/>
  <c r="AM374" i="22"/>
  <c r="AL374" i="22"/>
  <c r="AK374" i="22"/>
  <c r="AJ374" i="22"/>
  <c r="AI374" i="22"/>
  <c r="AH374" i="22"/>
  <c r="AG374" i="22"/>
  <c r="AF374" i="22"/>
  <c r="AE374" i="22"/>
  <c r="AD374" i="22"/>
  <c r="AC374" i="22"/>
  <c r="AB374" i="22"/>
  <c r="AA374" i="22"/>
  <c r="Z374" i="22"/>
  <c r="Y374" i="22"/>
  <c r="X374" i="22"/>
  <c r="W374" i="22"/>
  <c r="V374" i="22"/>
  <c r="U374" i="22"/>
  <c r="T374" i="22"/>
  <c r="S374" i="22"/>
  <c r="R374" i="22"/>
  <c r="Q374" i="22"/>
  <c r="P374" i="22"/>
  <c r="O374" i="22"/>
  <c r="N374" i="22"/>
  <c r="M374" i="22"/>
  <c r="L374" i="22"/>
  <c r="K374" i="22"/>
  <c r="J374" i="22"/>
  <c r="I374" i="22"/>
  <c r="H374" i="22"/>
  <c r="G374" i="22"/>
  <c r="F374" i="22"/>
  <c r="E374" i="22"/>
  <c r="AQ343" i="22"/>
  <c r="AP343" i="22"/>
  <c r="AO343" i="22"/>
  <c r="AN343" i="22"/>
  <c r="AM343" i="22"/>
  <c r="AL343" i="22"/>
  <c r="AK343" i="22"/>
  <c r="AJ343" i="22"/>
  <c r="AI343" i="22"/>
  <c r="AH343" i="22"/>
  <c r="AG343" i="22"/>
  <c r="AF343" i="22"/>
  <c r="AE343" i="22"/>
  <c r="AD343" i="22"/>
  <c r="AC343" i="22"/>
  <c r="AB343" i="22"/>
  <c r="AA343" i="22"/>
  <c r="Z343" i="22"/>
  <c r="Y343" i="22"/>
  <c r="X343" i="22"/>
  <c r="W343" i="22"/>
  <c r="V343" i="22"/>
  <c r="U343" i="22"/>
  <c r="T343" i="22"/>
  <c r="S343" i="22"/>
  <c r="R343" i="22"/>
  <c r="Q343" i="22"/>
  <c r="P343" i="22"/>
  <c r="O343" i="22"/>
  <c r="N343" i="22"/>
  <c r="M343" i="22"/>
  <c r="L343" i="22"/>
  <c r="K343" i="22"/>
  <c r="J343" i="22"/>
  <c r="I343" i="22"/>
  <c r="H343" i="22"/>
  <c r="G343" i="22"/>
  <c r="F343" i="22"/>
  <c r="E343" i="22"/>
  <c r="AQ342" i="22"/>
  <c r="AP342" i="22"/>
  <c r="AO342" i="22"/>
  <c r="AN342" i="22"/>
  <c r="AM342" i="22"/>
  <c r="AL342" i="22"/>
  <c r="AK342" i="22"/>
  <c r="AJ342" i="22"/>
  <c r="AI342" i="22"/>
  <c r="AH342" i="22"/>
  <c r="AG342" i="22"/>
  <c r="AF342" i="22"/>
  <c r="AE342" i="22"/>
  <c r="AD342" i="22"/>
  <c r="AC342" i="22"/>
  <c r="AB342" i="22"/>
  <c r="AA342" i="22"/>
  <c r="Z342" i="22"/>
  <c r="Y342" i="22"/>
  <c r="X342" i="22"/>
  <c r="W342" i="22"/>
  <c r="V342" i="22"/>
  <c r="U342" i="22"/>
  <c r="T342" i="22"/>
  <c r="S342" i="22"/>
  <c r="R342" i="22"/>
  <c r="Q342" i="22"/>
  <c r="P342" i="22"/>
  <c r="O342" i="22"/>
  <c r="N342" i="22"/>
  <c r="M342" i="22"/>
  <c r="L342" i="22"/>
  <c r="K342" i="22"/>
  <c r="J342" i="22"/>
  <c r="I342" i="22"/>
  <c r="H342" i="22"/>
  <c r="G342" i="22"/>
  <c r="F342" i="22"/>
  <c r="E342" i="22"/>
  <c r="AQ334" i="22"/>
  <c r="AP334" i="22"/>
  <c r="AO334" i="22"/>
  <c r="AN334" i="22"/>
  <c r="AM334" i="22"/>
  <c r="AL334" i="22"/>
  <c r="AK334" i="22"/>
  <c r="AJ334" i="22"/>
  <c r="AI334" i="22"/>
  <c r="AH334" i="22"/>
  <c r="AG334" i="22"/>
  <c r="AF334" i="22"/>
  <c r="AE334" i="22"/>
  <c r="AD334" i="22"/>
  <c r="AC334" i="22"/>
  <c r="AB334" i="22"/>
  <c r="AA334" i="22"/>
  <c r="Z334" i="22"/>
  <c r="Y334" i="22"/>
  <c r="X334" i="22"/>
  <c r="W334" i="22"/>
  <c r="V334" i="22"/>
  <c r="U334" i="22"/>
  <c r="T334" i="22"/>
  <c r="S334" i="22"/>
  <c r="R334" i="22"/>
  <c r="Q334" i="22"/>
  <c r="P334" i="22"/>
  <c r="O334" i="22"/>
  <c r="N334" i="22"/>
  <c r="M334" i="22"/>
  <c r="L334" i="22"/>
  <c r="K334" i="22"/>
  <c r="J334" i="22"/>
  <c r="I334" i="22"/>
  <c r="H334" i="22"/>
  <c r="F334" i="22"/>
  <c r="E334" i="22"/>
  <c r="AQ333" i="22"/>
  <c r="AP333" i="22"/>
  <c r="AO333" i="22"/>
  <c r="AN333" i="22"/>
  <c r="AM333" i="22"/>
  <c r="AL333" i="22"/>
  <c r="AK333" i="22"/>
  <c r="AJ333" i="22"/>
  <c r="AI333" i="22"/>
  <c r="AH333" i="22"/>
  <c r="AG333" i="22"/>
  <c r="AF333" i="22"/>
  <c r="AE333" i="22"/>
  <c r="AD333" i="22"/>
  <c r="AC333" i="22"/>
  <c r="AB333" i="22"/>
  <c r="AA333" i="22"/>
  <c r="Z333" i="22"/>
  <c r="Y333" i="22"/>
  <c r="X333" i="22"/>
  <c r="W333" i="22"/>
  <c r="V333" i="22"/>
  <c r="U333" i="22"/>
  <c r="T333" i="22"/>
  <c r="S333" i="22"/>
  <c r="R333" i="22"/>
  <c r="Q333" i="22"/>
  <c r="P333" i="22"/>
  <c r="O333" i="22"/>
  <c r="N333" i="22"/>
  <c r="M333" i="22"/>
  <c r="L333" i="22"/>
  <c r="K333" i="22"/>
  <c r="J333" i="22"/>
  <c r="I333" i="22"/>
  <c r="H333" i="22"/>
  <c r="G333" i="22"/>
  <c r="F333" i="22"/>
  <c r="E333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tc={F2B7B6F8-0CBF-4F70-880A-19AAEB2B9E1E}</author>
  </authors>
  <commentList>
    <comment ref="C1" authorId="0" shapeId="0" xr:uid="{F2B7B6F8-0CBF-4F70-880A-19AAEB2B9E1E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 implementare: inserire questo testo al posto del nome del grafico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tc={CAA0DD9B-233A-49A1-947D-A32F19B4EC70}</author>
  </authors>
  <commentList>
    <comment ref="C1" authorId="0" shapeId="0" xr:uid="{CAA0DD9B-233A-49A1-947D-A32F19B4EC7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 implementare: inserire questo testo al posto del nome del grafico</t>
      </text>
    </comment>
  </commentList>
</comments>
</file>

<file path=xl/sharedStrings.xml><?xml version="1.0" encoding="utf-8"?>
<sst xmlns="http://schemas.openxmlformats.org/spreadsheetml/2006/main" count="105" uniqueCount="33">
  <si>
    <t>group</t>
  </si>
  <si>
    <t>time</t>
  </si>
  <si>
    <t>Voce</t>
  </si>
  <si>
    <t>Selezione</t>
  </si>
  <si>
    <t>Nome voce</t>
  </si>
  <si>
    <t>modelclass</t>
  </si>
  <si>
    <t>Totale uscite</t>
  </si>
  <si>
    <t>Riserva Matematica</t>
  </si>
  <si>
    <t>Premi Annui + Vers. Agg.</t>
  </si>
  <si>
    <t>Riscatti parziali statici</t>
  </si>
  <si>
    <t>Riscatti totali statici</t>
  </si>
  <si>
    <t>Riscatti parziali dinamici</t>
  </si>
  <si>
    <t>Riscatti totali dinamici</t>
  </si>
  <si>
    <t>Riscatti totali</t>
  </si>
  <si>
    <t>Sinistri</t>
  </si>
  <si>
    <t>Scadenze</t>
  </si>
  <si>
    <t>Switch in</t>
  </si>
  <si>
    <t>Switch out</t>
  </si>
  <si>
    <t>Totale spese</t>
  </si>
  <si>
    <t>PC23</t>
  </si>
  <si>
    <t>x</t>
  </si>
  <si>
    <t>Tasso retrocesso</t>
  </si>
  <si>
    <t>Totale rendite</t>
  </si>
  <si>
    <t>Tasso lordo</t>
  </si>
  <si>
    <t>PC24</t>
  </si>
  <si>
    <t>Tasso di riscatto parziale statico</t>
  </si>
  <si>
    <t>Tasso di riscatto totale statico</t>
  </si>
  <si>
    <t>Tasso di riscatto parziale dinamico</t>
  </si>
  <si>
    <t>Tasso di riscatto totale dinamico</t>
  </si>
  <si>
    <t>Tasso di sinistro</t>
  </si>
  <si>
    <t>Tasso di switch in</t>
  </si>
  <si>
    <t>Tasso di switch out</t>
  </si>
  <si>
    <t>5464342095,113|6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</si>
</sst>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0"/>
      <color theme="1"/>
      <name val="Noto Sans"/>
      <family val="2"/>
    </font>
    <font>
      <b/>
      <sz val="11"/>
      <color theme="3"/>
      <name val="Noto Sans"/>
      <family val="2"/>
    </font>
    <font>
      <sz val="11"/>
      <color theme="1"/>
      <name val="Calibri"/>
      <family val="2"/>
      <scheme val="minor"/>
    </font>
    <font>
      <sz val="10"/>
      <color theme="1"/>
      <name val="Noto Sans"/>
      <family val="2"/>
    </font>
    <font>
      <b/>
      <sz val="10"/>
      <color theme="1"/>
      <name val="Noto Sans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1" applyNumberFormat="0" applyFill="0" applyAlignment="0" applyProtection="0"/>
    <xf numFmtId="0" fontId="2" fillId="0" borderId="0"/>
    <xf numFmtId="43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5">
    <xf numFmtId="0" fontId="0" fillId="0" borderId="0" xfId="0"/>
    <xf numFmtId="0" fontId="0" fillId="2" borderId="2" xfId="0" applyFill="1" applyBorder="1"/>
    <xf numFmtId="0" fontId="1" fillId="3" borderId="1" xfId="1" applyFill="1"/>
    <xf numFmtId="0" fontId="0" fillId="3" borderId="0" xfId="0" applyFill="1"/>
    <xf numFmtId="0" fontId="0" fillId="4" borderId="0" xfId="0" applyFill="1"/>
    <xf numFmtId="0" fontId="4" fillId="4" borderId="0" xfId="0" applyFont="1" applyFill="1"/>
    <xf numFmtId="10" fontId="4" fillId="4" borderId="0" xfId="4" applyNumberFormat="1" applyFont="1" applyFill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</cellXfs>
  <cellStyles count="5">
    <cellStyle name="Migliaia 2" xfId="3" xr:uid="{3066F37A-038E-4B3E-9E7F-2C6FCFFD8311}"/>
    <cellStyle name="Normale" xfId="0" builtinId="0"/>
    <cellStyle name="Normale 2" xfId="2" xr:uid="{245AB9CD-87F3-492D-BC8C-44649FB64787}"/>
    <cellStyle name="Percentuale" xfId="4" builtinId="5"/>
    <cellStyle name="Titolo 3" xfId="1" builtinId="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UNIT!$C$332</c:f>
          <c:strCache>
            <c:ptCount val="1"/>
            <c:pt idx="0">
              <c:v>Tasso di riscatto parziale statico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UNIT!$C$333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UNIT!$E$333:$AQ$333</c:f>
              <c:numCache>
                <c:formatCode>0.00%</c:formatCode>
                <c:ptCount val="39"/>
                <c:pt idx="0">
                  <c:v>0</c:v>
                </c:pt>
                <c:pt idx="1">
                  <c:v>2.4599420590054565E-2</c:v>
                </c:pt>
                <c:pt idx="2">
                  <c:v>2.2996207191176878E-2</c:v>
                </c:pt>
                <c:pt idx="3">
                  <c:v>2.1393987069582104E-2</c:v>
                </c:pt>
                <c:pt idx="4">
                  <c:v>1.9945223644041811E-2</c:v>
                </c:pt>
                <c:pt idx="5">
                  <c:v>1.9561560817540086E-2</c:v>
                </c:pt>
                <c:pt idx="6">
                  <c:v>1.9593257188767196E-2</c:v>
                </c:pt>
                <c:pt idx="7">
                  <c:v>2.0117335457318957E-2</c:v>
                </c:pt>
                <c:pt idx="8">
                  <c:v>2.1022360750474884E-2</c:v>
                </c:pt>
                <c:pt idx="9">
                  <c:v>2.2157761367746505E-2</c:v>
                </c:pt>
                <c:pt idx="10">
                  <c:v>2.358742901437055E-2</c:v>
                </c:pt>
                <c:pt idx="11">
                  <c:v>2.5015641524854675E-2</c:v>
                </c:pt>
                <c:pt idx="12">
                  <c:v>2.6400932945602529E-2</c:v>
                </c:pt>
                <c:pt idx="13">
                  <c:v>2.7705083931657624E-2</c:v>
                </c:pt>
                <c:pt idx="14">
                  <c:v>2.8823899707663758E-2</c:v>
                </c:pt>
                <c:pt idx="15">
                  <c:v>2.9609703477238045E-2</c:v>
                </c:pt>
                <c:pt idx="16">
                  <c:v>2.9904968194818877E-2</c:v>
                </c:pt>
                <c:pt idx="17">
                  <c:v>2.992432911165404E-2</c:v>
                </c:pt>
                <c:pt idx="18">
                  <c:v>2.9500139524921969E-2</c:v>
                </c:pt>
                <c:pt idx="19">
                  <c:v>2.8796770656916632E-2</c:v>
                </c:pt>
                <c:pt idx="20">
                  <c:v>2.7962290448852758E-2</c:v>
                </c:pt>
                <c:pt idx="21">
                  <c:v>2.6822662054991533E-2</c:v>
                </c:pt>
                <c:pt idx="22">
                  <c:v>2.5831238080583178E-2</c:v>
                </c:pt>
                <c:pt idx="23">
                  <c:v>2.4735465066506718E-2</c:v>
                </c:pt>
                <c:pt idx="24">
                  <c:v>2.4132926087950122E-2</c:v>
                </c:pt>
                <c:pt idx="25">
                  <c:v>2.3245128852141847E-2</c:v>
                </c:pt>
                <c:pt idx="26">
                  <c:v>2.2464519708280849E-2</c:v>
                </c:pt>
                <c:pt idx="27">
                  <c:v>2.1775567222362756E-2</c:v>
                </c:pt>
                <c:pt idx="28">
                  <c:v>2.1262033544006107E-2</c:v>
                </c:pt>
                <c:pt idx="29">
                  <c:v>2.0913987539952623E-2</c:v>
                </c:pt>
                <c:pt idx="30">
                  <c:v>2.0844317575762002E-2</c:v>
                </c:pt>
                <c:pt idx="31">
                  <c:v>2.074030310646165E-2</c:v>
                </c:pt>
                <c:pt idx="32">
                  <c:v>2.0546411577183302E-2</c:v>
                </c:pt>
                <c:pt idx="33">
                  <c:v>2.0144619930743887E-2</c:v>
                </c:pt>
                <c:pt idx="34">
                  <c:v>1.9360237607303949E-2</c:v>
                </c:pt>
                <c:pt idx="35">
                  <c:v>1.8611768951947234E-2</c:v>
                </c:pt>
                <c:pt idx="36">
                  <c:v>1.7918056523124691E-2</c:v>
                </c:pt>
                <c:pt idx="37">
                  <c:v>1.7210259777803147E-2</c:v>
                </c:pt>
                <c:pt idx="38">
                  <c:v>1.6367515168769841E-2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C-458D-AA2B-A47FC49AAA91}"/>
            </c:ext>
          </c:extLst>
        </c:ser>
        <c:ser>
          <c:idx val="1"/>
          <c:order val="1"/>
          <c:tx>
            <c:strRef>
              <c:f>UNIT!$C$334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UNIT!$E$334:$AQ$334</c:f>
              <c:numCache>
                <c:formatCode>0.00%</c:formatCode>
                <c:ptCount val="39"/>
                <c:pt idx="0">
                  <c:v>3.7081951199471969E-2</c:v>
                </c:pt>
                <c:pt idx="1">
                  <c:v>3.6951942703664212E-2</c:v>
                </c:pt>
                <c:pt idx="2">
                  <c:v>3.4979250474844452E-2</c:v>
                </c:pt>
                <c:pt idx="3">
                  <c:v>3.246610394578104E-2</c:v>
                </c:pt>
                <c:pt idx="4">
                  <c:v>3.0278547364299961E-2</c:v>
                </c:pt>
                <c:pt idx="5">
                  <c:v>2.8273962692789281E-2</c:v>
                </c:pt>
                <c:pt idx="6">
                  <c:v>2.7524614724889575E-2</c:v>
                </c:pt>
                <c:pt idx="7">
                  <c:v>2.7024305205464175E-2</c:v>
                </c:pt>
                <c:pt idx="8">
                  <c:v>2.696064000257967E-2</c:v>
                </c:pt>
                <c:pt idx="9">
                  <c:v>2.7365600643764417E-2</c:v>
                </c:pt>
                <c:pt idx="10">
                  <c:v>2.7924906341577738E-2</c:v>
                </c:pt>
                <c:pt idx="11">
                  <c:v>2.8651061672159747E-2</c:v>
                </c:pt>
                <c:pt idx="12">
                  <c:v>2.9479442479240399E-2</c:v>
                </c:pt>
                <c:pt idx="13">
                  <c:v>3.0221596836228062E-2</c:v>
                </c:pt>
                <c:pt idx="14">
                  <c:v>3.0905498972704882E-2</c:v>
                </c:pt>
                <c:pt idx="15">
                  <c:v>3.1430108659090329E-2</c:v>
                </c:pt>
                <c:pt idx="16">
                  <c:v>3.186272008017825E-2</c:v>
                </c:pt>
                <c:pt idx="17">
                  <c:v>3.1956156013115723E-2</c:v>
                </c:pt>
                <c:pt idx="18">
                  <c:v>3.1648610198491765E-2</c:v>
                </c:pt>
                <c:pt idx="19">
                  <c:v>3.1134840882477421E-2</c:v>
                </c:pt>
                <c:pt idx="20">
                  <c:v>3.0345822611882033E-2</c:v>
                </c:pt>
                <c:pt idx="21">
                  <c:v>2.9595597398470851E-2</c:v>
                </c:pt>
                <c:pt idx="22">
                  <c:v>2.8566729050220438E-2</c:v>
                </c:pt>
                <c:pt idx="23">
                  <c:v>2.7378827492524578E-2</c:v>
                </c:pt>
                <c:pt idx="24">
                  <c:v>2.5989113672064922E-2</c:v>
                </c:pt>
                <c:pt idx="25">
                  <c:v>2.474318024076385E-2</c:v>
                </c:pt>
                <c:pt idx="26">
                  <c:v>2.3489741399562256E-2</c:v>
                </c:pt>
                <c:pt idx="27">
                  <c:v>2.2484326776669807E-2</c:v>
                </c:pt>
                <c:pt idx="28">
                  <c:v>2.1365158500323746E-2</c:v>
                </c:pt>
                <c:pt idx="29">
                  <c:v>2.1344931460317892E-2</c:v>
                </c:pt>
                <c:pt idx="30">
                  <c:v>2.0649868577250027E-2</c:v>
                </c:pt>
                <c:pt idx="31">
                  <c:v>2.0036341807178504E-2</c:v>
                </c:pt>
                <c:pt idx="32">
                  <c:v>1.9214989453974873E-2</c:v>
                </c:pt>
                <c:pt idx="33">
                  <c:v>1.8431465740234968E-2</c:v>
                </c:pt>
                <c:pt idx="34">
                  <c:v>1.7822594716801452E-2</c:v>
                </c:pt>
                <c:pt idx="35">
                  <c:v>1.7301672715936457E-2</c:v>
                </c:pt>
                <c:pt idx="36">
                  <c:v>1.7075586602003548E-2</c:v>
                </c:pt>
                <c:pt idx="37">
                  <c:v>1.671679192549301E-2</c:v>
                </c:pt>
                <c:pt idx="38">
                  <c:v>1.6468537743217038E-2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1C-458D-AA2B-A47FC49AA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UNIT!$C$341</c:f>
          <c:strCache>
            <c:ptCount val="1"/>
            <c:pt idx="0">
              <c:v>Tasso di riscatto totale statico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UNIT!$C$342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UNIT!$E$342:$AQ$342</c:f>
              <c:numCache>
                <c:formatCode>0.00%</c:formatCode>
                <c:ptCount val="39"/>
                <c:pt idx="0">
                  <c:v>0</c:v>
                </c:pt>
                <c:pt idx="1">
                  <c:v>8.8998330730587383E-2</c:v>
                </c:pt>
                <c:pt idx="2">
                  <c:v>8.170002980845284E-2</c:v>
                </c:pt>
                <c:pt idx="3">
                  <c:v>7.0691235797102001E-2</c:v>
                </c:pt>
                <c:pt idx="4">
                  <c:v>5.4242683110538648E-2</c:v>
                </c:pt>
                <c:pt idx="5">
                  <c:v>4.6647713575109474E-2</c:v>
                </c:pt>
                <c:pt idx="6">
                  <c:v>4.3181389318023913E-2</c:v>
                </c:pt>
                <c:pt idx="7">
                  <c:v>4.1580794241955113E-2</c:v>
                </c:pt>
                <c:pt idx="8">
                  <c:v>4.1496635294267996E-2</c:v>
                </c:pt>
                <c:pt idx="9">
                  <c:v>4.2501525471679187E-2</c:v>
                </c:pt>
                <c:pt idx="10">
                  <c:v>4.4546563449866509E-2</c:v>
                </c:pt>
                <c:pt idx="11">
                  <c:v>4.6939854274807347E-2</c:v>
                </c:pt>
                <c:pt idx="12">
                  <c:v>4.9464511451121004E-2</c:v>
                </c:pt>
                <c:pt idx="13">
                  <c:v>5.1885713804126411E-2</c:v>
                </c:pt>
                <c:pt idx="14">
                  <c:v>5.3835043654317655E-2</c:v>
                </c:pt>
                <c:pt idx="15">
                  <c:v>5.4970565293675978E-2</c:v>
                </c:pt>
                <c:pt idx="16">
                  <c:v>5.491443355619547E-2</c:v>
                </c:pt>
                <c:pt idx="17">
                  <c:v>5.40580203732983E-2</c:v>
                </c:pt>
                <c:pt idx="18">
                  <c:v>5.217248334653643E-2</c:v>
                </c:pt>
                <c:pt idx="19">
                  <c:v>4.9606101856172424E-2</c:v>
                </c:pt>
                <c:pt idx="20">
                  <c:v>4.6790386849529485E-2</c:v>
                </c:pt>
                <c:pt idx="21">
                  <c:v>4.3517263658380413E-2</c:v>
                </c:pt>
                <c:pt idx="22">
                  <c:v>4.0670153802655783E-2</c:v>
                </c:pt>
                <c:pt idx="23">
                  <c:v>3.7920411286039721E-2</c:v>
                </c:pt>
                <c:pt idx="24">
                  <c:v>3.6148414087106694E-2</c:v>
                </c:pt>
                <c:pt idx="25">
                  <c:v>3.4050573335854581E-2</c:v>
                </c:pt>
                <c:pt idx="26">
                  <c:v>3.2272883616763531E-2</c:v>
                </c:pt>
                <c:pt idx="27">
                  <c:v>3.0763148056417049E-2</c:v>
                </c:pt>
                <c:pt idx="28">
                  <c:v>2.9656281887161049E-2</c:v>
                </c:pt>
                <c:pt idx="29">
                  <c:v>2.8885681205464041E-2</c:v>
                </c:pt>
                <c:pt idx="30">
                  <c:v>2.8612923911048745E-2</c:v>
                </c:pt>
                <c:pt idx="31">
                  <c:v>2.8338804002502667E-2</c:v>
                </c:pt>
                <c:pt idx="32">
                  <c:v>2.7908219398543748E-2</c:v>
                </c:pt>
                <c:pt idx="33">
                  <c:v>2.7232704188607688E-2</c:v>
                </c:pt>
                <c:pt idx="34">
                  <c:v>2.606464557361212E-2</c:v>
                </c:pt>
                <c:pt idx="35">
                  <c:v>2.4869364563901881E-2</c:v>
                </c:pt>
                <c:pt idx="36">
                  <c:v>2.3659085877038338E-2</c:v>
                </c:pt>
                <c:pt idx="37">
                  <c:v>2.2256134355798152E-2</c:v>
                </c:pt>
                <c:pt idx="38">
                  <c:v>2.0896697744695342E-2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C-4532-B43B-D672DF8F96BF}"/>
            </c:ext>
          </c:extLst>
        </c:ser>
        <c:ser>
          <c:idx val="1"/>
          <c:order val="1"/>
          <c:tx>
            <c:strRef>
              <c:f>UNIT!$C$343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UNIT!$E$343:$AQ$343</c:f>
              <c:numCache>
                <c:formatCode>0.00%</c:formatCode>
                <c:ptCount val="39"/>
                <c:pt idx="0">
                  <c:v>0.17566922648457672</c:v>
                </c:pt>
                <c:pt idx="1">
                  <c:v>0.1311972452898337</c:v>
                </c:pt>
                <c:pt idx="2">
                  <c:v>0.12378319234001965</c:v>
                </c:pt>
                <c:pt idx="3">
                  <c:v>0.10861343991088582</c:v>
                </c:pt>
                <c:pt idx="4">
                  <c:v>9.2532731120969408E-2</c:v>
                </c:pt>
                <c:pt idx="5">
                  <c:v>7.9043629984417857E-2</c:v>
                </c:pt>
                <c:pt idx="6">
                  <c:v>7.2366802141896058E-2</c:v>
                </c:pt>
                <c:pt idx="7">
                  <c:v>6.707499462906269E-2</c:v>
                </c:pt>
                <c:pt idx="8">
                  <c:v>6.3571938923945914E-2</c:v>
                </c:pt>
                <c:pt idx="9">
                  <c:v>6.1777378367628255E-2</c:v>
                </c:pt>
                <c:pt idx="10">
                  <c:v>6.0964348677202469E-2</c:v>
                </c:pt>
                <c:pt idx="11">
                  <c:v>6.1128984322846594E-2</c:v>
                </c:pt>
                <c:pt idx="12">
                  <c:v>6.1970971111690622E-2</c:v>
                </c:pt>
                <c:pt idx="13">
                  <c:v>6.2996970810622957E-2</c:v>
                </c:pt>
                <c:pt idx="14">
                  <c:v>6.4022946908102188E-2</c:v>
                </c:pt>
                <c:pt idx="15">
                  <c:v>6.4710234951175977E-2</c:v>
                </c:pt>
                <c:pt idx="16">
                  <c:v>6.5105433541960925E-2</c:v>
                </c:pt>
                <c:pt idx="17">
                  <c:v>6.4631861532237586E-2</c:v>
                </c:pt>
                <c:pt idx="18">
                  <c:v>6.3170877892893981E-2</c:v>
                </c:pt>
                <c:pt idx="19">
                  <c:v>6.1181042358296168E-2</c:v>
                </c:pt>
                <c:pt idx="20">
                  <c:v>5.8613578361047108E-2</c:v>
                </c:pt>
                <c:pt idx="21">
                  <c:v>5.6196617269551344E-2</c:v>
                </c:pt>
                <c:pt idx="22">
                  <c:v>5.3408236178960053E-2</c:v>
                </c:pt>
                <c:pt idx="23">
                  <c:v>5.0586049072976681E-2</c:v>
                </c:pt>
                <c:pt idx="24">
                  <c:v>4.7643589348588672E-2</c:v>
                </c:pt>
                <c:pt idx="25">
                  <c:v>4.5224279531880997E-2</c:v>
                </c:pt>
                <c:pt idx="26">
                  <c:v>4.300903107751599E-2</c:v>
                </c:pt>
                <c:pt idx="27">
                  <c:v>4.1213058023949818E-2</c:v>
                </c:pt>
                <c:pt idx="28">
                  <c:v>3.9149119967751014E-2</c:v>
                </c:pt>
                <c:pt idx="29">
                  <c:v>3.9172857109042052E-2</c:v>
                </c:pt>
                <c:pt idx="30">
                  <c:v>3.7991555827165589E-2</c:v>
                </c:pt>
                <c:pt idx="31">
                  <c:v>3.7076182926794328E-2</c:v>
                </c:pt>
                <c:pt idx="32">
                  <c:v>3.5294619113944922E-2</c:v>
                </c:pt>
                <c:pt idx="33">
                  <c:v>3.354014981897576E-2</c:v>
                </c:pt>
                <c:pt idx="34">
                  <c:v>3.2162587602381366E-2</c:v>
                </c:pt>
                <c:pt idx="35">
                  <c:v>3.0644951571775336E-2</c:v>
                </c:pt>
                <c:pt idx="36">
                  <c:v>2.9402664330218774E-2</c:v>
                </c:pt>
                <c:pt idx="37">
                  <c:v>2.8517702700440271E-2</c:v>
                </c:pt>
                <c:pt idx="38">
                  <c:v>2.7305259731397233E-2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5C-4532-B43B-D672DF8F9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UNIT!$C$373</c:f>
          <c:strCache>
            <c:ptCount val="1"/>
            <c:pt idx="0">
              <c:v>Tasso di riscatto parziale dinamico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UNIT!$C$374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UNIT!$E$374:$AP$374</c:f>
              <c:numCache>
                <c:formatCode>0.00%</c:formatCode>
                <c:ptCount val="38"/>
                <c:pt idx="0">
                  <c:v>0</c:v>
                </c:pt>
                <c:pt idx="1">
                  <c:v>4.5505008332432503E-3</c:v>
                </c:pt>
                <c:pt idx="2">
                  <c:v>4.2842514416782758E-3</c:v>
                </c:pt>
                <c:pt idx="3">
                  <c:v>4.2652793451136099E-3</c:v>
                </c:pt>
                <c:pt idx="4">
                  <c:v>5.3940561010869742E-3</c:v>
                </c:pt>
                <c:pt idx="5">
                  <c:v>5.6488233321268138E-3</c:v>
                </c:pt>
                <c:pt idx="6">
                  <c:v>5.8760759179937059E-3</c:v>
                </c:pt>
                <c:pt idx="7">
                  <c:v>5.6912517471833348E-3</c:v>
                </c:pt>
                <c:pt idx="8">
                  <c:v>5.7655108480242981E-3</c:v>
                </c:pt>
                <c:pt idx="9">
                  <c:v>6.0912591453259673E-3</c:v>
                </c:pt>
                <c:pt idx="10">
                  <c:v>4.246591422098973E-3</c:v>
                </c:pt>
                <c:pt idx="11">
                  <c:v>5.7093493354107511E-3</c:v>
                </c:pt>
                <c:pt idx="12">
                  <c:v>5.5038709697208567E-3</c:v>
                </c:pt>
                <c:pt idx="13">
                  <c:v>5.8261484255261557E-3</c:v>
                </c:pt>
                <c:pt idx="14">
                  <c:v>4.5456618834258354E-3</c:v>
                </c:pt>
                <c:pt idx="15">
                  <c:v>5.3751649020601358E-3</c:v>
                </c:pt>
                <c:pt idx="16">
                  <c:v>7.5442647122361981E-3</c:v>
                </c:pt>
                <c:pt idx="17">
                  <c:v>7.7992363521552843E-3</c:v>
                </c:pt>
                <c:pt idx="18">
                  <c:v>9.5167460383492695E-3</c:v>
                </c:pt>
                <c:pt idx="19">
                  <c:v>9.822799186738328E-3</c:v>
                </c:pt>
                <c:pt idx="20">
                  <c:v>1.058343155863576E-2</c:v>
                </c:pt>
                <c:pt idx="21">
                  <c:v>1.2156666894746461E-2</c:v>
                </c:pt>
                <c:pt idx="22">
                  <c:v>1.0687450759120488E-2</c:v>
                </c:pt>
                <c:pt idx="23">
                  <c:v>1.1291225615658797E-2</c:v>
                </c:pt>
                <c:pt idx="24">
                  <c:v>1.2981499984286486E-2</c:v>
                </c:pt>
                <c:pt idx="25">
                  <c:v>1.4306870534945034E-2</c:v>
                </c:pt>
                <c:pt idx="26">
                  <c:v>1.5391727006265397E-2</c:v>
                </c:pt>
                <c:pt idx="27">
                  <c:v>1.4528161146713089E-2</c:v>
                </c:pt>
                <c:pt idx="28">
                  <c:v>1.2846771507510049E-2</c:v>
                </c:pt>
                <c:pt idx="29">
                  <c:v>1.0930425136024297E-2</c:v>
                </c:pt>
                <c:pt idx="30">
                  <c:v>7.4641148264421864E-3</c:v>
                </c:pt>
                <c:pt idx="31">
                  <c:v>7.4510079457024451E-3</c:v>
                </c:pt>
                <c:pt idx="32">
                  <c:v>6.7644786943164559E-3</c:v>
                </c:pt>
                <c:pt idx="33">
                  <c:v>6.2280744272055584E-3</c:v>
                </c:pt>
                <c:pt idx="34">
                  <c:v>6.2211018835417646E-3</c:v>
                </c:pt>
                <c:pt idx="35">
                  <c:v>5.336898037189227E-3</c:v>
                </c:pt>
                <c:pt idx="36">
                  <c:v>5.7265055252302263E-3</c:v>
                </c:pt>
                <c:pt idx="37">
                  <c:v>5.5695223485531823E-3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45-4972-B2B5-7BE9AF8A6EF8}"/>
            </c:ext>
          </c:extLst>
        </c:ser>
        <c:ser>
          <c:idx val="1"/>
          <c:order val="1"/>
          <c:tx>
            <c:strRef>
              <c:f>UNIT!$C$375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UNIT!$E$375:$AP$375</c:f>
              <c:numCache>
                <c:formatCode>0.00%</c:formatCode>
                <c:ptCount val="38"/>
                <c:pt idx="0">
                  <c:v>9.2981097021084197E-5</c:v>
                </c:pt>
                <c:pt idx="1">
                  <c:v>6.1983993309626894E-4</c:v>
                </c:pt>
                <c:pt idx="2">
                  <c:v>8.9146245089437445E-4</c:v>
                </c:pt>
                <c:pt idx="3">
                  <c:v>1.8625291269844804E-3</c:v>
                </c:pt>
                <c:pt idx="4">
                  <c:v>2.7567608916729235E-3</c:v>
                </c:pt>
                <c:pt idx="5">
                  <c:v>3.4727525405209439E-3</c:v>
                </c:pt>
                <c:pt idx="6">
                  <c:v>5.0982215687565566E-3</c:v>
                </c:pt>
                <c:pt idx="7">
                  <c:v>5.0454860037843895E-3</c:v>
                </c:pt>
                <c:pt idx="8">
                  <c:v>5.4262207144662889E-3</c:v>
                </c:pt>
                <c:pt idx="9">
                  <c:v>3.1537198811412087E-3</c:v>
                </c:pt>
                <c:pt idx="10">
                  <c:v>4.670484768406165E-3</c:v>
                </c:pt>
                <c:pt idx="11">
                  <c:v>4.0956604411447207E-3</c:v>
                </c:pt>
                <c:pt idx="12">
                  <c:v>4.6641202077646439E-3</c:v>
                </c:pt>
                <c:pt idx="13">
                  <c:v>4.0801659533115271E-3</c:v>
                </c:pt>
                <c:pt idx="14">
                  <c:v>4.2866749731779192E-3</c:v>
                </c:pt>
                <c:pt idx="15">
                  <c:v>4.7926637048925878E-3</c:v>
                </c:pt>
                <c:pt idx="16">
                  <c:v>4.9786162225507963E-3</c:v>
                </c:pt>
                <c:pt idx="17">
                  <c:v>6.4034919584227291E-3</c:v>
                </c:pt>
                <c:pt idx="18">
                  <c:v>6.0599249349289983E-3</c:v>
                </c:pt>
                <c:pt idx="19">
                  <c:v>7.2198448155329697E-3</c:v>
                </c:pt>
                <c:pt idx="20">
                  <c:v>7.7446241797978497E-3</c:v>
                </c:pt>
                <c:pt idx="21">
                  <c:v>5.6853360294682855E-3</c:v>
                </c:pt>
                <c:pt idx="22">
                  <c:v>6.4341762304821774E-3</c:v>
                </c:pt>
                <c:pt idx="23">
                  <c:v>7.8867493360523892E-3</c:v>
                </c:pt>
                <c:pt idx="24">
                  <c:v>9.1749543569956057E-3</c:v>
                </c:pt>
                <c:pt idx="25">
                  <c:v>9.4229897309108107E-3</c:v>
                </c:pt>
                <c:pt idx="26">
                  <c:v>7.7801772805065911E-3</c:v>
                </c:pt>
                <c:pt idx="27">
                  <c:v>6.6501633812602245E-3</c:v>
                </c:pt>
                <c:pt idx="28">
                  <c:v>4.9500643414775742E-3</c:v>
                </c:pt>
                <c:pt idx="29">
                  <c:v>3.1471727751613771E-3</c:v>
                </c:pt>
                <c:pt idx="30">
                  <c:v>3.5535406274197043E-3</c:v>
                </c:pt>
                <c:pt idx="31">
                  <c:v>3.3723903628192168E-3</c:v>
                </c:pt>
                <c:pt idx="32">
                  <c:v>3.7601987978110132E-3</c:v>
                </c:pt>
                <c:pt idx="33">
                  <c:v>3.9031639863490895E-3</c:v>
                </c:pt>
                <c:pt idx="34">
                  <c:v>3.6717645141882056E-3</c:v>
                </c:pt>
                <c:pt idx="35">
                  <c:v>4.3503638894231388E-3</c:v>
                </c:pt>
                <c:pt idx="36">
                  <c:v>4.0961449207290801E-3</c:v>
                </c:pt>
                <c:pt idx="37">
                  <c:v>2.3198085031582365E-3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5-4972-B2B5-7BE9AF8A6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UNIT!$C$382</c:f>
          <c:strCache>
            <c:ptCount val="1"/>
            <c:pt idx="0">
              <c:v>Tasso di riscatto totale dinamico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UNIT!$C$383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UNIT!$E$383:$AP$383</c:f>
              <c:numCache>
                <c:formatCode>0.00%</c:formatCode>
                <c:ptCount val="38"/>
                <c:pt idx="0">
                  <c:v>0</c:v>
                </c:pt>
                <c:pt idx="1">
                  <c:v>2.5726663577423141E-2</c:v>
                </c:pt>
                <c:pt idx="2">
                  <c:v>2.5488821191107715E-2</c:v>
                </c:pt>
                <c:pt idx="3">
                  <c:v>2.5877140705203541E-2</c:v>
                </c:pt>
                <c:pt idx="4">
                  <c:v>2.7722355912886517E-2</c:v>
                </c:pt>
                <c:pt idx="5">
                  <c:v>2.7535145960347489E-2</c:v>
                </c:pt>
                <c:pt idx="6">
                  <c:v>2.6803280674871567E-2</c:v>
                </c:pt>
                <c:pt idx="7">
                  <c:v>2.5144407613424763E-2</c:v>
                </c:pt>
                <c:pt idx="8">
                  <c:v>2.383100639341465E-2</c:v>
                </c:pt>
                <c:pt idx="9">
                  <c:v>2.3030028646000896E-2</c:v>
                </c:pt>
                <c:pt idx="10">
                  <c:v>1.8849718957180007E-2</c:v>
                </c:pt>
                <c:pt idx="11">
                  <c:v>1.9985625153968314E-2</c:v>
                </c:pt>
                <c:pt idx="12">
                  <c:v>1.8630382038531859E-2</c:v>
                </c:pt>
                <c:pt idx="13">
                  <c:v>1.8238739271445755E-2</c:v>
                </c:pt>
                <c:pt idx="14">
                  <c:v>1.5445793111042393E-2</c:v>
                </c:pt>
                <c:pt idx="15">
                  <c:v>1.6130779213127142E-2</c:v>
                </c:pt>
                <c:pt idx="16">
                  <c:v>1.889091211150816E-2</c:v>
                </c:pt>
                <c:pt idx="17">
                  <c:v>1.9078186955831272E-2</c:v>
                </c:pt>
                <c:pt idx="18">
                  <c:v>2.1669144939337807E-2</c:v>
                </c:pt>
                <c:pt idx="19">
                  <c:v>2.2357733301274607E-2</c:v>
                </c:pt>
                <c:pt idx="20">
                  <c:v>2.4285054673160365E-2</c:v>
                </c:pt>
                <c:pt idx="21">
                  <c:v>2.7489910725880282E-2</c:v>
                </c:pt>
                <c:pt idx="22">
                  <c:v>2.6642260347934602E-2</c:v>
                </c:pt>
                <c:pt idx="23">
                  <c:v>2.9179003563014897E-2</c:v>
                </c:pt>
                <c:pt idx="24">
                  <c:v>3.3665777996655502E-2</c:v>
                </c:pt>
                <c:pt idx="25">
                  <c:v>3.749495172366251E-2</c:v>
                </c:pt>
                <c:pt idx="26">
                  <c:v>4.0972193306367262E-2</c:v>
                </c:pt>
                <c:pt idx="27">
                  <c:v>4.1429125537163651E-2</c:v>
                </c:pt>
                <c:pt idx="28">
                  <c:v>4.0287213151951613E-2</c:v>
                </c:pt>
                <c:pt idx="29">
                  <c:v>3.8184186815783026E-2</c:v>
                </c:pt>
                <c:pt idx="30">
                  <c:v>3.3611444357024518E-2</c:v>
                </c:pt>
                <c:pt idx="31">
                  <c:v>3.2555125835245231E-2</c:v>
                </c:pt>
                <c:pt idx="32">
                  <c:v>3.0176213872916486E-2</c:v>
                </c:pt>
                <c:pt idx="33">
                  <c:v>2.7524476608855337E-2</c:v>
                </c:pt>
                <c:pt idx="34">
                  <c:v>2.5335510835143332E-2</c:v>
                </c:pt>
                <c:pt idx="35">
                  <c:v>2.2054659120126469E-2</c:v>
                </c:pt>
                <c:pt idx="36">
                  <c:v>2.0458030896727666E-2</c:v>
                </c:pt>
                <c:pt idx="37">
                  <c:v>1.8415311374658586E-2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5-439A-AB03-EFA0F71A13C4}"/>
            </c:ext>
          </c:extLst>
        </c:ser>
        <c:ser>
          <c:idx val="1"/>
          <c:order val="1"/>
          <c:tx>
            <c:strRef>
              <c:f>UNIT!$C$384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UNIT!$E$384:$AP$384</c:f>
              <c:numCache>
                <c:formatCode>0.00%</c:formatCode>
                <c:ptCount val="38"/>
                <c:pt idx="0">
                  <c:v>2.0842043403451505E-4</c:v>
                </c:pt>
                <c:pt idx="1">
                  <c:v>1.1516007996611416E-3</c:v>
                </c:pt>
                <c:pt idx="2">
                  <c:v>1.7119772598590463E-3</c:v>
                </c:pt>
                <c:pt idx="3">
                  <c:v>3.3633671671222634E-3</c:v>
                </c:pt>
                <c:pt idx="4">
                  <c:v>4.49474497936375E-3</c:v>
                </c:pt>
                <c:pt idx="5">
                  <c:v>5.1359358803029272E-3</c:v>
                </c:pt>
                <c:pt idx="6">
                  <c:v>7.2284472947176425E-3</c:v>
                </c:pt>
                <c:pt idx="7">
                  <c:v>6.9067023167401513E-3</c:v>
                </c:pt>
                <c:pt idx="8">
                  <c:v>7.3279728812766882E-3</c:v>
                </c:pt>
                <c:pt idx="9">
                  <c:v>4.2209496270229968E-3</c:v>
                </c:pt>
                <c:pt idx="10">
                  <c:v>6.4107738352812251E-3</c:v>
                </c:pt>
                <c:pt idx="11">
                  <c:v>5.6943519257929573E-3</c:v>
                </c:pt>
                <c:pt idx="12">
                  <c:v>6.5357492740860624E-3</c:v>
                </c:pt>
                <c:pt idx="13">
                  <c:v>5.7969498691891807E-3</c:v>
                </c:pt>
                <c:pt idx="14">
                  <c:v>6.4575101353397061E-3</c:v>
                </c:pt>
                <c:pt idx="15">
                  <c:v>7.2275676729716522E-3</c:v>
                </c:pt>
                <c:pt idx="16">
                  <c:v>7.7067855768987552E-3</c:v>
                </c:pt>
                <c:pt idx="17">
                  <c:v>9.8864534447232113E-3</c:v>
                </c:pt>
                <c:pt idx="18">
                  <c:v>9.2384200750726831E-3</c:v>
                </c:pt>
                <c:pt idx="19">
                  <c:v>1.1171500341751772E-2</c:v>
                </c:pt>
                <c:pt idx="20">
                  <c:v>1.1796572566447274E-2</c:v>
                </c:pt>
                <c:pt idx="21">
                  <c:v>8.4736976444693222E-3</c:v>
                </c:pt>
                <c:pt idx="22">
                  <c:v>9.5325345116589379E-3</c:v>
                </c:pt>
                <c:pt idx="23">
                  <c:v>1.1660506935764221E-2</c:v>
                </c:pt>
                <c:pt idx="24">
                  <c:v>1.3443407039576855E-2</c:v>
                </c:pt>
                <c:pt idx="25">
                  <c:v>1.3574369503953694E-2</c:v>
                </c:pt>
                <c:pt idx="26">
                  <c:v>1.0970190758396076E-2</c:v>
                </c:pt>
                <c:pt idx="27">
                  <c:v>9.0954373394691469E-3</c:v>
                </c:pt>
                <c:pt idx="28">
                  <c:v>6.5792090103155782E-3</c:v>
                </c:pt>
                <c:pt idx="29">
                  <c:v>4.1666553279052759E-3</c:v>
                </c:pt>
                <c:pt idx="30">
                  <c:v>4.7416783826732898E-3</c:v>
                </c:pt>
                <c:pt idx="31">
                  <c:v>4.5569986614149146E-3</c:v>
                </c:pt>
                <c:pt idx="32">
                  <c:v>5.055702631676426E-3</c:v>
                </c:pt>
                <c:pt idx="33">
                  <c:v>5.2050983853922728E-3</c:v>
                </c:pt>
                <c:pt idx="34">
                  <c:v>4.9624185865926717E-3</c:v>
                </c:pt>
                <c:pt idx="35">
                  <c:v>5.813796944131088E-3</c:v>
                </c:pt>
                <c:pt idx="36">
                  <c:v>5.3375247532335161E-3</c:v>
                </c:pt>
                <c:pt idx="37">
                  <c:v>3.1019014705080381E-3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35-439A-AB03-EFA0F71A1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UNIT!$C$411</c:f>
          <c:strCache>
            <c:ptCount val="1"/>
            <c:pt idx="0">
              <c:v>Tasso di sinistro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UNIT!$C$412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UNIT!$E$412:$AP$412</c:f>
              <c:numCache>
                <c:formatCode>0.00%</c:formatCode>
                <c:ptCount val="38"/>
                <c:pt idx="0">
                  <c:v>0</c:v>
                </c:pt>
                <c:pt idx="1">
                  <c:v>2.4446722725705132E-2</c:v>
                </c:pt>
                <c:pt idx="2">
                  <c:v>2.5738844073696948E-2</c:v>
                </c:pt>
                <c:pt idx="3">
                  <c:v>2.7379607720609999E-2</c:v>
                </c:pt>
                <c:pt idx="4">
                  <c:v>2.8774589811707517E-2</c:v>
                </c:pt>
                <c:pt idx="5">
                  <c:v>3.0505139100361012E-2</c:v>
                </c:pt>
                <c:pt idx="6">
                  <c:v>3.1837455280866456E-2</c:v>
                </c:pt>
                <c:pt idx="7">
                  <c:v>3.3007026181556591E-2</c:v>
                </c:pt>
                <c:pt idx="8">
                  <c:v>3.4018242620145384E-2</c:v>
                </c:pt>
                <c:pt idx="9">
                  <c:v>3.487833944663659E-2</c:v>
                </c:pt>
                <c:pt idx="10">
                  <c:v>3.5807553524983569E-2</c:v>
                </c:pt>
                <c:pt idx="11">
                  <c:v>3.6573962250502245E-2</c:v>
                </c:pt>
                <c:pt idx="12">
                  <c:v>3.7371720742417826E-2</c:v>
                </c:pt>
                <c:pt idx="13">
                  <c:v>3.8256442551186778E-2</c:v>
                </c:pt>
                <c:pt idx="14">
                  <c:v>3.9164270542250586E-2</c:v>
                </c:pt>
                <c:pt idx="15">
                  <c:v>4.004518330543743E-2</c:v>
                </c:pt>
                <c:pt idx="16">
                  <c:v>4.0830578483721701E-2</c:v>
                </c:pt>
                <c:pt idx="17">
                  <c:v>4.1749684033397627E-2</c:v>
                </c:pt>
                <c:pt idx="18">
                  <c:v>4.2536260629407269E-2</c:v>
                </c:pt>
                <c:pt idx="19">
                  <c:v>4.3291683986045611E-2</c:v>
                </c:pt>
                <c:pt idx="20">
                  <c:v>4.3993086059660229E-2</c:v>
                </c:pt>
                <c:pt idx="21">
                  <c:v>4.4576441377910531E-2</c:v>
                </c:pt>
                <c:pt idx="22">
                  <c:v>4.5364851716277667E-2</c:v>
                </c:pt>
                <c:pt idx="23">
                  <c:v>4.6057200809192324E-2</c:v>
                </c:pt>
                <c:pt idx="24">
                  <c:v>4.7726202336548784E-2</c:v>
                </c:pt>
                <c:pt idx="25">
                  <c:v>4.8824721761655004E-2</c:v>
                </c:pt>
                <c:pt idx="26">
                  <c:v>5.0429873339455436E-2</c:v>
                </c:pt>
                <c:pt idx="27">
                  <c:v>5.2195526437747164E-2</c:v>
                </c:pt>
                <c:pt idx="28">
                  <c:v>5.4265944949397626E-2</c:v>
                </c:pt>
                <c:pt idx="29">
                  <c:v>5.6726666872119344E-2</c:v>
                </c:pt>
                <c:pt idx="30">
                  <c:v>5.9729525333736933E-2</c:v>
                </c:pt>
                <c:pt idx="31">
                  <c:v>6.2755739280304909E-2</c:v>
                </c:pt>
                <c:pt idx="32">
                  <c:v>6.5945271552697443E-2</c:v>
                </c:pt>
                <c:pt idx="33">
                  <c:v>6.9535464315574294E-2</c:v>
                </c:pt>
                <c:pt idx="34">
                  <c:v>7.3594427889870404E-2</c:v>
                </c:pt>
                <c:pt idx="35">
                  <c:v>7.7526453326547937E-2</c:v>
                </c:pt>
                <c:pt idx="36">
                  <c:v>8.1822655851935711E-2</c:v>
                </c:pt>
                <c:pt idx="37">
                  <c:v>8.7230876611645608E-2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67-42C9-9632-02E21FA83E0A}"/>
            </c:ext>
          </c:extLst>
        </c:ser>
        <c:ser>
          <c:idx val="1"/>
          <c:order val="1"/>
          <c:tx>
            <c:strRef>
              <c:f>UNIT!$C$413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UNIT!$E$413:$AP$413</c:f>
              <c:numCache>
                <c:formatCode>0.00%</c:formatCode>
                <c:ptCount val="38"/>
                <c:pt idx="0">
                  <c:v>2.3364127525914196E-2</c:v>
                </c:pt>
                <c:pt idx="1">
                  <c:v>2.4759256537998799E-2</c:v>
                </c:pt>
                <c:pt idx="2">
                  <c:v>2.6003851784362927E-2</c:v>
                </c:pt>
                <c:pt idx="3">
                  <c:v>2.7437049197297586E-2</c:v>
                </c:pt>
                <c:pt idx="4">
                  <c:v>2.8984689973799597E-2</c:v>
                </c:pt>
                <c:pt idx="5">
                  <c:v>3.0224783003399536E-2</c:v>
                </c:pt>
                <c:pt idx="6">
                  <c:v>3.1697702464535016E-2</c:v>
                </c:pt>
                <c:pt idx="7">
                  <c:v>3.2687160038857271E-2</c:v>
                </c:pt>
                <c:pt idx="8">
                  <c:v>3.3498554044125828E-2</c:v>
                </c:pt>
                <c:pt idx="9">
                  <c:v>3.4326616254473891E-2</c:v>
                </c:pt>
                <c:pt idx="10">
                  <c:v>3.4928380471864112E-2</c:v>
                </c:pt>
                <c:pt idx="11">
                  <c:v>3.5467018908307842E-2</c:v>
                </c:pt>
                <c:pt idx="12">
                  <c:v>3.6010091433385495E-2</c:v>
                </c:pt>
                <c:pt idx="13">
                  <c:v>3.654261435753775E-2</c:v>
                </c:pt>
                <c:pt idx="14">
                  <c:v>3.7143662248796949E-2</c:v>
                </c:pt>
                <c:pt idx="15">
                  <c:v>3.7776791566194866E-2</c:v>
                </c:pt>
                <c:pt idx="16">
                  <c:v>3.8612413059154999E-2</c:v>
                </c:pt>
                <c:pt idx="17">
                  <c:v>3.9364471271516786E-2</c:v>
                </c:pt>
                <c:pt idx="18">
                  <c:v>3.9999945896610725E-2</c:v>
                </c:pt>
                <c:pt idx="19">
                  <c:v>4.0639046754826096E-2</c:v>
                </c:pt>
                <c:pt idx="20">
                  <c:v>4.1121682378669568E-2</c:v>
                </c:pt>
                <c:pt idx="21">
                  <c:v>4.1690950805014081E-2</c:v>
                </c:pt>
                <c:pt idx="22">
                  <c:v>4.1854744377892016E-2</c:v>
                </c:pt>
                <c:pt idx="23">
                  <c:v>4.166824508442802E-2</c:v>
                </c:pt>
                <c:pt idx="24">
                  <c:v>4.103458314146851E-2</c:v>
                </c:pt>
                <c:pt idx="25">
                  <c:v>4.0444154236848127E-2</c:v>
                </c:pt>
                <c:pt idx="26">
                  <c:v>3.9706091590647891E-2</c:v>
                </c:pt>
                <c:pt idx="27">
                  <c:v>3.9285413224081765E-2</c:v>
                </c:pt>
                <c:pt idx="28">
                  <c:v>3.8463762043480336E-2</c:v>
                </c:pt>
                <c:pt idx="29">
                  <c:v>3.9480451830045012E-2</c:v>
                </c:pt>
                <c:pt idx="30">
                  <c:v>3.9170771929492504E-2</c:v>
                </c:pt>
                <c:pt idx="31">
                  <c:v>3.9113570844638797E-2</c:v>
                </c:pt>
                <c:pt idx="32">
                  <c:v>3.8629047881986477E-2</c:v>
                </c:pt>
                <c:pt idx="33">
                  <c:v>3.8541074274700486E-2</c:v>
                </c:pt>
                <c:pt idx="34">
                  <c:v>3.8849044588396796E-2</c:v>
                </c:pt>
                <c:pt idx="35">
                  <c:v>3.9742992548730212E-2</c:v>
                </c:pt>
                <c:pt idx="36">
                  <c:v>4.1696913465092598E-2</c:v>
                </c:pt>
                <c:pt idx="37">
                  <c:v>4.3552373560975584E-2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67-42C9-9632-02E21FA83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UNIT!$C$439</c:f>
          <c:strCache>
            <c:ptCount val="1"/>
            <c:pt idx="0">
              <c:v>Tasso di switch 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UNIT!$C$440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UNIT!$E$440:$AO$440</c:f>
              <c:numCache>
                <c:formatCode>0.00%</c:formatCode>
                <c:ptCount val="37"/>
                <c:pt idx="0">
                  <c:v>0</c:v>
                </c:pt>
                <c:pt idx="1">
                  <c:v>9.266760360148632E-2</c:v>
                </c:pt>
                <c:pt idx="2">
                  <c:v>8.3285183523714057E-2</c:v>
                </c:pt>
                <c:pt idx="3">
                  <c:v>8.532717317371899E-2</c:v>
                </c:pt>
                <c:pt idx="4">
                  <c:v>8.9221021452049479E-2</c:v>
                </c:pt>
                <c:pt idx="5">
                  <c:v>9.264566370845681E-2</c:v>
                </c:pt>
                <c:pt idx="6">
                  <c:v>9.4169977206468705E-2</c:v>
                </c:pt>
                <c:pt idx="7">
                  <c:v>9.491102226733289E-2</c:v>
                </c:pt>
                <c:pt idx="8">
                  <c:v>9.5205589353201558E-2</c:v>
                </c:pt>
                <c:pt idx="9">
                  <c:v>9.4919511341682791E-2</c:v>
                </c:pt>
                <c:pt idx="10">
                  <c:v>9.4768639894535114E-2</c:v>
                </c:pt>
                <c:pt idx="11">
                  <c:v>9.4186147966001374E-2</c:v>
                </c:pt>
                <c:pt idx="12">
                  <c:v>9.3301061231834209E-2</c:v>
                </c:pt>
                <c:pt idx="13">
                  <c:v>9.2689847310677045E-2</c:v>
                </c:pt>
                <c:pt idx="14">
                  <c:v>9.2062307576753447E-2</c:v>
                </c:pt>
                <c:pt idx="15">
                  <c:v>9.1412150193196415E-2</c:v>
                </c:pt>
                <c:pt idx="16">
                  <c:v>9.0369290774712008E-2</c:v>
                </c:pt>
                <c:pt idx="17">
                  <c:v>8.9348356576337537E-2</c:v>
                </c:pt>
                <c:pt idx="18">
                  <c:v>8.7928760543706228E-2</c:v>
                </c:pt>
                <c:pt idx="19">
                  <c:v>8.6197191120506014E-2</c:v>
                </c:pt>
                <c:pt idx="20">
                  <c:v>8.4588871777883934E-2</c:v>
                </c:pt>
                <c:pt idx="21">
                  <c:v>8.225714008651365E-2</c:v>
                </c:pt>
                <c:pt idx="22">
                  <c:v>8.0353393870785245E-2</c:v>
                </c:pt>
                <c:pt idx="23">
                  <c:v>7.8206264003673115E-2</c:v>
                </c:pt>
                <c:pt idx="24">
                  <c:v>7.7700381971393007E-2</c:v>
                </c:pt>
                <c:pt idx="25">
                  <c:v>7.5564019852411235E-2</c:v>
                </c:pt>
                <c:pt idx="26">
                  <c:v>7.3422989347032994E-2</c:v>
                </c:pt>
                <c:pt idx="27">
                  <c:v>7.1168084752491145E-2</c:v>
                </c:pt>
                <c:pt idx="28">
                  <c:v>6.9178823100683531E-2</c:v>
                </c:pt>
                <c:pt idx="29">
                  <c:v>6.7593961470792677E-2</c:v>
                </c:pt>
                <c:pt idx="30">
                  <c:v>6.6726636102276526E-2</c:v>
                </c:pt>
                <c:pt idx="31">
                  <c:v>6.5559226464519893E-2</c:v>
                </c:pt>
                <c:pt idx="32">
                  <c:v>6.3828494593072341E-2</c:v>
                </c:pt>
                <c:pt idx="33">
                  <c:v>6.2086742611922714E-2</c:v>
                </c:pt>
                <c:pt idx="34">
                  <c:v>6.0111709038656452E-2</c:v>
                </c:pt>
                <c:pt idx="35">
                  <c:v>5.7851412630741457E-2</c:v>
                </c:pt>
                <c:pt idx="36">
                  <c:v>5.5560519202756585E-2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0-4673-869F-23B19D307AE2}"/>
            </c:ext>
          </c:extLst>
        </c:ser>
        <c:ser>
          <c:idx val="1"/>
          <c:order val="1"/>
          <c:tx>
            <c:strRef>
              <c:f>UNIT!$C$441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UNIT!$E$441:$AO$441</c:f>
              <c:numCache>
                <c:formatCode>0.00%</c:formatCode>
                <c:ptCount val="37"/>
                <c:pt idx="0">
                  <c:v>0.11425758762499287</c:v>
                </c:pt>
                <c:pt idx="1">
                  <c:v>9.5974988126740865E-2</c:v>
                </c:pt>
                <c:pt idx="2">
                  <c:v>8.4977104523359867E-2</c:v>
                </c:pt>
                <c:pt idx="3">
                  <c:v>8.6390124247750485E-2</c:v>
                </c:pt>
                <c:pt idx="4">
                  <c:v>9.0542472482450162E-2</c:v>
                </c:pt>
                <c:pt idx="5">
                  <c:v>9.4227986662703392E-2</c:v>
                </c:pt>
                <c:pt idx="6">
                  <c:v>9.6408881785181144E-2</c:v>
                </c:pt>
                <c:pt idx="7">
                  <c:v>9.6790326499724327E-2</c:v>
                </c:pt>
                <c:pt idx="8">
                  <c:v>9.6547850983043207E-2</c:v>
                </c:pt>
                <c:pt idx="9">
                  <c:v>9.6535794293000549E-2</c:v>
                </c:pt>
                <c:pt idx="10">
                  <c:v>9.6080202293028646E-2</c:v>
                </c:pt>
                <c:pt idx="11">
                  <c:v>9.5302481015467178E-2</c:v>
                </c:pt>
                <c:pt idx="12">
                  <c:v>9.4761477198965188E-2</c:v>
                </c:pt>
                <c:pt idx="13">
                  <c:v>9.3934974949714284E-2</c:v>
                </c:pt>
                <c:pt idx="14">
                  <c:v>9.3085516701618382E-2</c:v>
                </c:pt>
                <c:pt idx="15">
                  <c:v>9.2505734145064772E-2</c:v>
                </c:pt>
                <c:pt idx="16">
                  <c:v>9.2393126202551468E-2</c:v>
                </c:pt>
                <c:pt idx="17">
                  <c:v>9.1951960814274869E-2</c:v>
                </c:pt>
                <c:pt idx="18">
                  <c:v>9.0868246197412586E-2</c:v>
                </c:pt>
                <c:pt idx="19">
                  <c:v>8.9832841164790997E-2</c:v>
                </c:pt>
                <c:pt idx="20">
                  <c:v>8.825007018115659E-2</c:v>
                </c:pt>
                <c:pt idx="21">
                  <c:v>8.6985555903841119E-2</c:v>
                </c:pt>
                <c:pt idx="22">
                  <c:v>8.4891228359536774E-2</c:v>
                </c:pt>
                <c:pt idx="23">
                  <c:v>8.2268234653781649E-2</c:v>
                </c:pt>
                <c:pt idx="24">
                  <c:v>7.8853766391592223E-2</c:v>
                </c:pt>
                <c:pt idx="25">
                  <c:v>7.5660744577766587E-2</c:v>
                </c:pt>
                <c:pt idx="26">
                  <c:v>7.2310677710182875E-2</c:v>
                </c:pt>
                <c:pt idx="27">
                  <c:v>6.9699275473365491E-2</c:v>
                </c:pt>
                <c:pt idx="28">
                  <c:v>6.6712611527980248E-2</c:v>
                </c:pt>
                <c:pt idx="29">
                  <c:v>6.6950359456039527E-2</c:v>
                </c:pt>
                <c:pt idx="30">
                  <c:v>6.4911216764139731E-2</c:v>
                </c:pt>
                <c:pt idx="31">
                  <c:v>6.2886324627899198E-2</c:v>
                </c:pt>
                <c:pt idx="32">
                  <c:v>6.0427812254370675E-2</c:v>
                </c:pt>
                <c:pt idx="33">
                  <c:v>5.8106097480806702E-2</c:v>
                </c:pt>
                <c:pt idx="34">
                  <c:v>5.621356244438578E-2</c:v>
                </c:pt>
                <c:pt idx="35">
                  <c:v>5.4860418670768754E-2</c:v>
                </c:pt>
                <c:pt idx="36">
                  <c:v>5.4628883703318587E-2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0-4673-869F-23B19D307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UNIT!$C$448</c:f>
          <c:strCache>
            <c:ptCount val="1"/>
            <c:pt idx="0">
              <c:v>Tasso di switch out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UNIT!$C$449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UNIT!$E$449:$AO$449</c:f>
              <c:numCache>
                <c:formatCode>0.00%</c:formatCode>
                <c:ptCount val="37"/>
                <c:pt idx="0">
                  <c:v>0</c:v>
                </c:pt>
                <c:pt idx="1">
                  <c:v>6.3647086263927635E-2</c:v>
                </c:pt>
                <c:pt idx="2">
                  <c:v>6.7219862664468069E-2</c:v>
                </c:pt>
                <c:pt idx="3">
                  <c:v>7.1734800250479513E-2</c:v>
                </c:pt>
                <c:pt idx="4">
                  <c:v>7.5512545926255198E-2</c:v>
                </c:pt>
                <c:pt idx="5">
                  <c:v>7.9123781683255387E-2</c:v>
                </c:pt>
                <c:pt idx="6">
                  <c:v>8.088086922551041E-2</c:v>
                </c:pt>
                <c:pt idx="7">
                  <c:v>8.2040997015798561E-2</c:v>
                </c:pt>
                <c:pt idx="8">
                  <c:v>8.2736794891132018E-2</c:v>
                </c:pt>
                <c:pt idx="9">
                  <c:v>8.289145423814169E-2</c:v>
                </c:pt>
                <c:pt idx="10">
                  <c:v>8.3128611643271955E-2</c:v>
                </c:pt>
                <c:pt idx="11">
                  <c:v>8.2939039007868864E-2</c:v>
                </c:pt>
                <c:pt idx="12">
                  <c:v>8.2563477492500786E-2</c:v>
                </c:pt>
                <c:pt idx="13">
                  <c:v>8.2354671288274353E-2</c:v>
                </c:pt>
                <c:pt idx="14">
                  <c:v>8.2093169304177427E-2</c:v>
                </c:pt>
                <c:pt idx="15">
                  <c:v>8.1746533637195223E-2</c:v>
                </c:pt>
                <c:pt idx="16">
                  <c:v>8.0968642946088243E-2</c:v>
                </c:pt>
                <c:pt idx="17">
                  <c:v>8.0279926593868955E-2</c:v>
                </c:pt>
                <c:pt idx="18">
                  <c:v>7.9223561716571661E-2</c:v>
                </c:pt>
                <c:pt idx="19">
                  <c:v>7.788153748459016E-2</c:v>
                </c:pt>
                <c:pt idx="20">
                  <c:v>7.6604525063696263E-2</c:v>
                </c:pt>
                <c:pt idx="21">
                  <c:v>7.4713003012713761E-2</c:v>
                </c:pt>
                <c:pt idx="22">
                  <c:v>7.316104657770052E-2</c:v>
                </c:pt>
                <c:pt idx="23">
                  <c:v>7.1401012648541096E-2</c:v>
                </c:pt>
                <c:pt idx="24">
                  <c:v>7.1129979243197958E-2</c:v>
                </c:pt>
                <c:pt idx="25">
                  <c:v>6.9373906284527054E-2</c:v>
                </c:pt>
                <c:pt idx="26">
                  <c:v>6.7626510087512387E-2</c:v>
                </c:pt>
                <c:pt idx="27">
                  <c:v>6.5757189638409486E-2</c:v>
                </c:pt>
                <c:pt idx="28">
                  <c:v>6.4106730174412069E-2</c:v>
                </c:pt>
                <c:pt idx="29">
                  <c:v>6.2796034060353112E-2</c:v>
                </c:pt>
                <c:pt idx="30">
                  <c:v>6.2102934607893276E-2</c:v>
                </c:pt>
                <c:pt idx="31">
                  <c:v>6.1114744619120642E-2</c:v>
                </c:pt>
                <c:pt idx="32">
                  <c:v>5.9608244947097717E-2</c:v>
                </c:pt>
                <c:pt idx="33">
                  <c:v>5.8090114068730922E-2</c:v>
                </c:pt>
                <c:pt idx="34">
                  <c:v>5.6346079370129101E-2</c:v>
                </c:pt>
                <c:pt idx="35">
                  <c:v>5.4320026330958525E-2</c:v>
                </c:pt>
                <c:pt idx="36">
                  <c:v>5.2258288957688193E-2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AC-46F3-AA09-343F2A492BEF}"/>
            </c:ext>
          </c:extLst>
        </c:ser>
        <c:ser>
          <c:idx val="1"/>
          <c:order val="1"/>
          <c:tx>
            <c:strRef>
              <c:f>UNIT!$C$450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UNIT!$E$450:$AO$450</c:f>
              <c:numCache>
                <c:formatCode>0.00%</c:formatCode>
                <c:ptCount val="37"/>
                <c:pt idx="0">
                  <c:v>5.5382651108316437E-2</c:v>
                </c:pt>
                <c:pt idx="1">
                  <c:v>5.8939340221272757E-2</c:v>
                </c:pt>
                <c:pt idx="2">
                  <c:v>6.2514849933212754E-2</c:v>
                </c:pt>
                <c:pt idx="3">
                  <c:v>6.6935952301930376E-2</c:v>
                </c:pt>
                <c:pt idx="4">
                  <c:v>7.1257945129328565E-2</c:v>
                </c:pt>
                <c:pt idx="5">
                  <c:v>7.4937260192570535E-2</c:v>
                </c:pt>
                <c:pt idx="6">
                  <c:v>7.7561939276916181E-2</c:v>
                </c:pt>
                <c:pt idx="7">
                  <c:v>7.8658212540688013E-2</c:v>
                </c:pt>
                <c:pt idx="8">
                  <c:v>7.9246817542485179E-2</c:v>
                </c:pt>
                <c:pt idx="9">
                  <c:v>7.9856780347868153E-2</c:v>
                </c:pt>
                <c:pt idx="10">
                  <c:v>7.9990918193675931E-2</c:v>
                </c:pt>
                <c:pt idx="11">
                  <c:v>8.0006159462608306E-2</c:v>
                </c:pt>
                <c:pt idx="12">
                  <c:v>8.005869350578021E-2</c:v>
                </c:pt>
                <c:pt idx="13">
                  <c:v>7.9845831544452656E-2</c:v>
                </c:pt>
                <c:pt idx="14">
                  <c:v>7.9753658967230898E-2</c:v>
                </c:pt>
                <c:pt idx="15">
                  <c:v>7.9709920270539511E-2</c:v>
                </c:pt>
                <c:pt idx="16">
                  <c:v>7.9965663933699568E-2</c:v>
                </c:pt>
                <c:pt idx="17">
                  <c:v>7.9920766942542951E-2</c:v>
                </c:pt>
                <c:pt idx="18">
                  <c:v>7.9358995445573899E-2</c:v>
                </c:pt>
                <c:pt idx="19">
                  <c:v>7.8708805818984803E-2</c:v>
                </c:pt>
                <c:pt idx="20">
                  <c:v>7.7624069898846945E-2</c:v>
                </c:pt>
                <c:pt idx="21">
                  <c:v>7.6739681662631162E-2</c:v>
                </c:pt>
                <c:pt idx="22">
                  <c:v>7.518491698058552E-2</c:v>
                </c:pt>
                <c:pt idx="23">
                  <c:v>7.3112969000437122E-2</c:v>
                </c:pt>
                <c:pt idx="24">
                  <c:v>7.0363451263486629E-2</c:v>
                </c:pt>
                <c:pt idx="25">
                  <c:v>6.7822230995744123E-2</c:v>
                </c:pt>
                <c:pt idx="26">
                  <c:v>6.5074353432146445E-2</c:v>
                </c:pt>
                <c:pt idx="27">
                  <c:v>6.2961335429841211E-2</c:v>
                </c:pt>
                <c:pt idx="28">
                  <c:v>6.0460814069419451E-2</c:v>
                </c:pt>
                <c:pt idx="29">
                  <c:v>6.0852763357487384E-2</c:v>
                </c:pt>
                <c:pt idx="30">
                  <c:v>5.9169386088511106E-2</c:v>
                </c:pt>
                <c:pt idx="31">
                  <c:v>5.7503427815370017E-2</c:v>
                </c:pt>
                <c:pt idx="32">
                  <c:v>5.5426470015891904E-2</c:v>
                </c:pt>
                <c:pt idx="33">
                  <c:v>5.3476223638287079E-2</c:v>
                </c:pt>
                <c:pt idx="34">
                  <c:v>5.1898543715408689E-2</c:v>
                </c:pt>
                <c:pt idx="35">
                  <c:v>5.0821926441145748E-2</c:v>
                </c:pt>
                <c:pt idx="36">
                  <c:v>5.0797274906848357E-2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AC-46F3-AA09-343F2A492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UNIT!$C$373</c:f>
          <c:strCache>
            <c:ptCount val="1"/>
            <c:pt idx="0">
              <c:v>Tasso di riscatto parziale dinamico</c:v>
            </c:pt>
          </c:strCache>
        </c:strRef>
      </c:tx>
      <c:layout>
        <c:manualLayout>
          <c:xMode val="edge"/>
          <c:yMode val="edge"/>
          <c:x val="0.21395986812563264"/>
          <c:y val="3.23194032463949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UNIT!$C$374</c:f>
              <c:strCache>
                <c:ptCount val="1"/>
                <c:pt idx="0">
                  <c:v>PC23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UNIT!$E$374:$AP$374</c:f>
              <c:numCache>
                <c:formatCode>0.00%</c:formatCode>
                <c:ptCount val="38"/>
                <c:pt idx="0">
                  <c:v>0</c:v>
                </c:pt>
                <c:pt idx="1">
                  <c:v>4.5505008332432503E-3</c:v>
                </c:pt>
                <c:pt idx="2">
                  <c:v>4.2842514416782758E-3</c:v>
                </c:pt>
                <c:pt idx="3">
                  <c:v>4.2652793451136099E-3</c:v>
                </c:pt>
                <c:pt idx="4">
                  <c:v>5.3940561010869742E-3</c:v>
                </c:pt>
                <c:pt idx="5">
                  <c:v>5.6488233321268138E-3</c:v>
                </c:pt>
                <c:pt idx="6">
                  <c:v>5.8760759179937059E-3</c:v>
                </c:pt>
                <c:pt idx="7">
                  <c:v>5.6912517471833348E-3</c:v>
                </c:pt>
                <c:pt idx="8">
                  <c:v>5.7655108480242981E-3</c:v>
                </c:pt>
                <c:pt idx="9">
                  <c:v>6.0912591453259673E-3</c:v>
                </c:pt>
                <c:pt idx="10">
                  <c:v>4.246591422098973E-3</c:v>
                </c:pt>
                <c:pt idx="11">
                  <c:v>5.7093493354107511E-3</c:v>
                </c:pt>
                <c:pt idx="12">
                  <c:v>5.5038709697208567E-3</c:v>
                </c:pt>
                <c:pt idx="13">
                  <c:v>5.8261484255261557E-3</c:v>
                </c:pt>
                <c:pt idx="14">
                  <c:v>4.5456618834258354E-3</c:v>
                </c:pt>
                <c:pt idx="15">
                  <c:v>5.3751649020601358E-3</c:v>
                </c:pt>
                <c:pt idx="16">
                  <c:v>7.5442647122361981E-3</c:v>
                </c:pt>
                <c:pt idx="17">
                  <c:v>7.7992363521552843E-3</c:v>
                </c:pt>
                <c:pt idx="18">
                  <c:v>9.5167460383492695E-3</c:v>
                </c:pt>
                <c:pt idx="19">
                  <c:v>9.822799186738328E-3</c:v>
                </c:pt>
                <c:pt idx="20">
                  <c:v>1.058343155863576E-2</c:v>
                </c:pt>
                <c:pt idx="21">
                  <c:v>1.2156666894746461E-2</c:v>
                </c:pt>
                <c:pt idx="22">
                  <c:v>1.0687450759120488E-2</c:v>
                </c:pt>
                <c:pt idx="23">
                  <c:v>1.1291225615658797E-2</c:v>
                </c:pt>
                <c:pt idx="24">
                  <c:v>1.2981499984286486E-2</c:v>
                </c:pt>
                <c:pt idx="25">
                  <c:v>1.4306870534945034E-2</c:v>
                </c:pt>
                <c:pt idx="26">
                  <c:v>1.5391727006265397E-2</c:v>
                </c:pt>
                <c:pt idx="27">
                  <c:v>1.4528161146713089E-2</c:v>
                </c:pt>
                <c:pt idx="28">
                  <c:v>1.2846771507510049E-2</c:v>
                </c:pt>
                <c:pt idx="29">
                  <c:v>1.0930425136024297E-2</c:v>
                </c:pt>
                <c:pt idx="30">
                  <c:v>7.4641148264421864E-3</c:v>
                </c:pt>
                <c:pt idx="31">
                  <c:v>7.4510079457024451E-3</c:v>
                </c:pt>
                <c:pt idx="32">
                  <c:v>6.7644786943164559E-3</c:v>
                </c:pt>
                <c:pt idx="33">
                  <c:v>6.2280744272055584E-3</c:v>
                </c:pt>
                <c:pt idx="34">
                  <c:v>6.2211018835417646E-3</c:v>
                </c:pt>
                <c:pt idx="35">
                  <c:v>5.336898037189227E-3</c:v>
                </c:pt>
                <c:pt idx="36">
                  <c:v>5.7265055252302263E-3</c:v>
                </c:pt>
                <c:pt idx="37">
                  <c:v>5.5695223485531823E-3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3-4FC3-8086-F758A7A692FD}"/>
            </c:ext>
          </c:extLst>
        </c:ser>
        <c:ser>
          <c:idx val="1"/>
          <c:order val="1"/>
          <c:tx>
            <c:strRef>
              <c:f>UNIT!$C$375</c:f>
              <c:strCache>
                <c:ptCount val="1"/>
                <c:pt idx="0">
                  <c:v>PC24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UNIT!$E$375:$AP$375</c:f>
              <c:numCache>
                <c:formatCode>0.00%</c:formatCode>
                <c:ptCount val="38"/>
                <c:pt idx="0">
                  <c:v>9.2981097021084197E-5</c:v>
                </c:pt>
                <c:pt idx="1">
                  <c:v>6.1983993309626894E-4</c:v>
                </c:pt>
                <c:pt idx="2">
                  <c:v>8.9146245089437445E-4</c:v>
                </c:pt>
                <c:pt idx="3">
                  <c:v>1.8625291269844804E-3</c:v>
                </c:pt>
                <c:pt idx="4">
                  <c:v>2.7567608916729235E-3</c:v>
                </c:pt>
                <c:pt idx="5">
                  <c:v>3.4727525405209439E-3</c:v>
                </c:pt>
                <c:pt idx="6">
                  <c:v>5.0982215687565566E-3</c:v>
                </c:pt>
                <c:pt idx="7">
                  <c:v>5.0454860037843895E-3</c:v>
                </c:pt>
                <c:pt idx="8">
                  <c:v>5.4262207144662889E-3</c:v>
                </c:pt>
                <c:pt idx="9">
                  <c:v>3.1537198811412087E-3</c:v>
                </c:pt>
                <c:pt idx="10">
                  <c:v>4.670484768406165E-3</c:v>
                </c:pt>
                <c:pt idx="11">
                  <c:v>4.0956604411447207E-3</c:v>
                </c:pt>
                <c:pt idx="12">
                  <c:v>4.6641202077646439E-3</c:v>
                </c:pt>
                <c:pt idx="13">
                  <c:v>4.0801659533115271E-3</c:v>
                </c:pt>
                <c:pt idx="14">
                  <c:v>4.2866749731779192E-3</c:v>
                </c:pt>
                <c:pt idx="15">
                  <c:v>4.7926637048925878E-3</c:v>
                </c:pt>
                <c:pt idx="16">
                  <c:v>4.9786162225507963E-3</c:v>
                </c:pt>
                <c:pt idx="17">
                  <c:v>6.4034919584227291E-3</c:v>
                </c:pt>
                <c:pt idx="18">
                  <c:v>6.0599249349289983E-3</c:v>
                </c:pt>
                <c:pt idx="19">
                  <c:v>7.2198448155329697E-3</c:v>
                </c:pt>
                <c:pt idx="20">
                  <c:v>7.7446241797978497E-3</c:v>
                </c:pt>
                <c:pt idx="21">
                  <c:v>5.6853360294682855E-3</c:v>
                </c:pt>
                <c:pt idx="22">
                  <c:v>6.4341762304821774E-3</c:v>
                </c:pt>
                <c:pt idx="23">
                  <c:v>7.8867493360523892E-3</c:v>
                </c:pt>
                <c:pt idx="24">
                  <c:v>9.1749543569956057E-3</c:v>
                </c:pt>
                <c:pt idx="25">
                  <c:v>9.4229897309108107E-3</c:v>
                </c:pt>
                <c:pt idx="26">
                  <c:v>7.7801772805065911E-3</c:v>
                </c:pt>
                <c:pt idx="27">
                  <c:v>6.6501633812602245E-3</c:v>
                </c:pt>
                <c:pt idx="28">
                  <c:v>4.9500643414775742E-3</c:v>
                </c:pt>
                <c:pt idx="29">
                  <c:v>3.1471727751613771E-3</c:v>
                </c:pt>
                <c:pt idx="30">
                  <c:v>3.5535406274197043E-3</c:v>
                </c:pt>
                <c:pt idx="31">
                  <c:v>3.3723903628192168E-3</c:v>
                </c:pt>
                <c:pt idx="32">
                  <c:v>3.7601987978110132E-3</c:v>
                </c:pt>
                <c:pt idx="33">
                  <c:v>3.9031639863490895E-3</c:v>
                </c:pt>
                <c:pt idx="34">
                  <c:v>3.6717645141882056E-3</c:v>
                </c:pt>
                <c:pt idx="35">
                  <c:v>4.3503638894231388E-3</c:v>
                </c:pt>
                <c:pt idx="36">
                  <c:v>4.0961449207290801E-3</c:v>
                </c:pt>
                <c:pt idx="37">
                  <c:v>2.3198085031582365E-3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63-4FC3-8086-F758A7A69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9164079"/>
        <c:axId val="1649171983"/>
      </c:lineChart>
      <c:catAx>
        <c:axId val="1649164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71983"/>
        <c:crosses val="autoZero"/>
        <c:auto val="1"/>
        <c:lblAlgn val="ctr"/>
        <c:lblOffset val="100"/>
        <c:noMultiLvlLbl val="0"/>
      </c:catAx>
      <c:valAx>
        <c:axId val="16491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\ &quot;0&quot;;[&lt;=1]0.00%;0,000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649164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chart" Target="../charts/chart2.xml"/><Relationship Id="rId3" Type="http://schemas.openxmlformats.org/officeDocument/2006/relationships/image" Target="../media/image3.emf"/><Relationship Id="rId21" Type="http://schemas.openxmlformats.org/officeDocument/2006/relationships/chart" Target="../charts/chart5.xml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chart" Target="../charts/chart1.xml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chart" Target="../charts/chart4.xml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chart" Target="../charts/chart7.xml"/><Relationship Id="rId10" Type="http://schemas.openxmlformats.org/officeDocument/2006/relationships/image" Target="../media/image10.emf"/><Relationship Id="rId19" Type="http://schemas.openxmlformats.org/officeDocument/2006/relationships/chart" Target="../charts/chart3.xml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21</xdr:col>
      <xdr:colOff>428512</xdr:colOff>
      <xdr:row>19</xdr:row>
      <xdr:rowOff>99060</xdr:rowOff>
    </xdr:to>
    <xdr:pic>
      <xdr:nvPicPr>
        <xdr:cNvPr id="2" name="Picture 103">
          <a:extLst>
            <a:ext uri="{FF2B5EF4-FFF2-40B4-BE49-F238E27FC236}">
              <a16:creationId xmlns:a16="http://schemas.microsoft.com/office/drawing/2014/main" id="{BC481BA4-FB2E-4BEB-B3CF-BF292F972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205740"/>
          <a:ext cx="801624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23</xdr:col>
      <xdr:colOff>10457</xdr:colOff>
      <xdr:row>39</xdr:row>
      <xdr:rowOff>99060</xdr:rowOff>
    </xdr:to>
    <xdr:pic>
      <xdr:nvPicPr>
        <xdr:cNvPr id="3" name="Picture 104">
          <a:extLst>
            <a:ext uri="{FF2B5EF4-FFF2-40B4-BE49-F238E27FC236}">
              <a16:creationId xmlns:a16="http://schemas.microsoft.com/office/drawing/2014/main" id="{70EBE112-97C4-41A8-B619-91694CEEA3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4015740"/>
          <a:ext cx="846582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41</xdr:row>
      <xdr:rowOff>0</xdr:rowOff>
    </xdr:from>
    <xdr:to>
      <xdr:col>23</xdr:col>
      <xdr:colOff>314212</xdr:colOff>
      <xdr:row>59</xdr:row>
      <xdr:rowOff>99060</xdr:rowOff>
    </xdr:to>
    <xdr:pic>
      <xdr:nvPicPr>
        <xdr:cNvPr id="4" name="Picture 105">
          <a:extLst>
            <a:ext uri="{FF2B5EF4-FFF2-40B4-BE49-F238E27FC236}">
              <a16:creationId xmlns:a16="http://schemas.microsoft.com/office/drawing/2014/main" id="{C75B9A69-BCC8-4026-9BB9-50CF7CA6D6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7825740"/>
          <a:ext cx="877062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61</xdr:row>
      <xdr:rowOff>0</xdr:rowOff>
    </xdr:from>
    <xdr:to>
      <xdr:col>23</xdr:col>
      <xdr:colOff>158674</xdr:colOff>
      <xdr:row>79</xdr:row>
      <xdr:rowOff>99060</xdr:rowOff>
    </xdr:to>
    <xdr:pic>
      <xdr:nvPicPr>
        <xdr:cNvPr id="5" name="Picture 106">
          <a:extLst>
            <a:ext uri="{FF2B5EF4-FFF2-40B4-BE49-F238E27FC236}">
              <a16:creationId xmlns:a16="http://schemas.microsoft.com/office/drawing/2014/main" id="{1D41DD6F-C0DE-4AC5-99B9-2B66B6A50D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11635740"/>
          <a:ext cx="859536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81</xdr:row>
      <xdr:rowOff>0</xdr:rowOff>
    </xdr:from>
    <xdr:to>
      <xdr:col>22</xdr:col>
      <xdr:colOff>420892</xdr:colOff>
      <xdr:row>99</xdr:row>
      <xdr:rowOff>99060</xdr:rowOff>
    </xdr:to>
    <xdr:pic>
      <xdr:nvPicPr>
        <xdr:cNvPr id="6" name="Picture 107">
          <a:extLst>
            <a:ext uri="{FF2B5EF4-FFF2-40B4-BE49-F238E27FC236}">
              <a16:creationId xmlns:a16="http://schemas.microsoft.com/office/drawing/2014/main" id="{73AFC3CF-A502-4A14-8803-75B9907A0F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15445740"/>
          <a:ext cx="844296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101</xdr:row>
      <xdr:rowOff>0</xdr:rowOff>
    </xdr:from>
    <xdr:to>
      <xdr:col>23</xdr:col>
      <xdr:colOff>298972</xdr:colOff>
      <xdr:row>119</xdr:row>
      <xdr:rowOff>99060</xdr:rowOff>
    </xdr:to>
    <xdr:pic>
      <xdr:nvPicPr>
        <xdr:cNvPr id="7" name="Picture 108">
          <a:extLst>
            <a:ext uri="{FF2B5EF4-FFF2-40B4-BE49-F238E27FC236}">
              <a16:creationId xmlns:a16="http://schemas.microsoft.com/office/drawing/2014/main" id="{53011D63-56B5-4E08-A7D3-6119A34C45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19255740"/>
          <a:ext cx="875538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23</xdr:col>
      <xdr:colOff>173914</xdr:colOff>
      <xdr:row>139</xdr:row>
      <xdr:rowOff>99060</xdr:rowOff>
    </xdr:to>
    <xdr:pic>
      <xdr:nvPicPr>
        <xdr:cNvPr id="8" name="Picture 109">
          <a:extLst>
            <a:ext uri="{FF2B5EF4-FFF2-40B4-BE49-F238E27FC236}">
              <a16:creationId xmlns:a16="http://schemas.microsoft.com/office/drawing/2014/main" id="{BCBA73E9-5448-4D8C-B691-F422FE1937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23065740"/>
          <a:ext cx="861060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141</xdr:row>
      <xdr:rowOff>0</xdr:rowOff>
    </xdr:from>
    <xdr:to>
      <xdr:col>22</xdr:col>
      <xdr:colOff>18078</xdr:colOff>
      <xdr:row>159</xdr:row>
      <xdr:rowOff>99060</xdr:rowOff>
    </xdr:to>
    <xdr:pic>
      <xdr:nvPicPr>
        <xdr:cNvPr id="9" name="Picture 110">
          <a:extLst>
            <a:ext uri="{FF2B5EF4-FFF2-40B4-BE49-F238E27FC236}">
              <a16:creationId xmlns:a16="http://schemas.microsoft.com/office/drawing/2014/main" id="{F27AA9EC-83CB-48E5-AB40-EE6A0086D9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26875740"/>
          <a:ext cx="803910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161</xdr:row>
      <xdr:rowOff>0</xdr:rowOff>
    </xdr:from>
    <xdr:to>
      <xdr:col>21</xdr:col>
      <xdr:colOff>66936</xdr:colOff>
      <xdr:row>179</xdr:row>
      <xdr:rowOff>99060</xdr:rowOff>
    </xdr:to>
    <xdr:pic>
      <xdr:nvPicPr>
        <xdr:cNvPr id="10" name="Picture 111">
          <a:extLst>
            <a:ext uri="{FF2B5EF4-FFF2-40B4-BE49-F238E27FC236}">
              <a16:creationId xmlns:a16="http://schemas.microsoft.com/office/drawing/2014/main" id="{8A6CC8B3-31DB-40E8-ACDF-838F515EC2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30685740"/>
          <a:ext cx="767334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181</xdr:row>
      <xdr:rowOff>0</xdr:rowOff>
    </xdr:from>
    <xdr:to>
      <xdr:col>21</xdr:col>
      <xdr:colOff>238012</xdr:colOff>
      <xdr:row>199</xdr:row>
      <xdr:rowOff>99060</xdr:rowOff>
    </xdr:to>
    <xdr:pic>
      <xdr:nvPicPr>
        <xdr:cNvPr id="11" name="Picture 112">
          <a:extLst>
            <a:ext uri="{FF2B5EF4-FFF2-40B4-BE49-F238E27FC236}">
              <a16:creationId xmlns:a16="http://schemas.microsoft.com/office/drawing/2014/main" id="{4FFC2066-CA49-4B77-AFDD-359781BAD8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34495740"/>
          <a:ext cx="782574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201</xdr:row>
      <xdr:rowOff>0</xdr:rowOff>
    </xdr:from>
    <xdr:to>
      <xdr:col>21</xdr:col>
      <xdr:colOff>207532</xdr:colOff>
      <xdr:row>219</xdr:row>
      <xdr:rowOff>99060</xdr:rowOff>
    </xdr:to>
    <xdr:pic>
      <xdr:nvPicPr>
        <xdr:cNvPr id="12" name="Picture 113">
          <a:extLst>
            <a:ext uri="{FF2B5EF4-FFF2-40B4-BE49-F238E27FC236}">
              <a16:creationId xmlns:a16="http://schemas.microsoft.com/office/drawing/2014/main" id="{13D043F4-93C3-4A2F-BBD3-6DB07EEF39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38305740"/>
          <a:ext cx="779526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221</xdr:row>
      <xdr:rowOff>0</xdr:rowOff>
    </xdr:from>
    <xdr:to>
      <xdr:col>21</xdr:col>
      <xdr:colOff>291352</xdr:colOff>
      <xdr:row>239</xdr:row>
      <xdr:rowOff>99060</xdr:rowOff>
    </xdr:to>
    <xdr:pic>
      <xdr:nvPicPr>
        <xdr:cNvPr id="13" name="Picture 114">
          <a:extLst>
            <a:ext uri="{FF2B5EF4-FFF2-40B4-BE49-F238E27FC236}">
              <a16:creationId xmlns:a16="http://schemas.microsoft.com/office/drawing/2014/main" id="{4A525A3C-5971-4C6E-A8B5-D9B4BEC008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42115740"/>
          <a:ext cx="787908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241</xdr:row>
      <xdr:rowOff>0</xdr:rowOff>
    </xdr:from>
    <xdr:to>
      <xdr:col>21</xdr:col>
      <xdr:colOff>420892</xdr:colOff>
      <xdr:row>259</xdr:row>
      <xdr:rowOff>99060</xdr:rowOff>
    </xdr:to>
    <xdr:pic>
      <xdr:nvPicPr>
        <xdr:cNvPr id="14" name="Picture 115">
          <a:extLst>
            <a:ext uri="{FF2B5EF4-FFF2-40B4-BE49-F238E27FC236}">
              <a16:creationId xmlns:a16="http://schemas.microsoft.com/office/drawing/2014/main" id="{6C33CB85-81FA-438D-95EB-F37B1B29FA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45925740"/>
          <a:ext cx="800862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261</xdr:row>
      <xdr:rowOff>0</xdr:rowOff>
    </xdr:from>
    <xdr:to>
      <xdr:col>22</xdr:col>
      <xdr:colOff>79038</xdr:colOff>
      <xdr:row>279</xdr:row>
      <xdr:rowOff>99060</xdr:rowOff>
    </xdr:to>
    <xdr:pic>
      <xdr:nvPicPr>
        <xdr:cNvPr id="15" name="Picture 116">
          <a:extLst>
            <a:ext uri="{FF2B5EF4-FFF2-40B4-BE49-F238E27FC236}">
              <a16:creationId xmlns:a16="http://schemas.microsoft.com/office/drawing/2014/main" id="{1C52910A-9427-4462-ABBC-13EDFB4425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49735740"/>
          <a:ext cx="810006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281</xdr:row>
      <xdr:rowOff>0</xdr:rowOff>
    </xdr:from>
    <xdr:to>
      <xdr:col>22</xdr:col>
      <xdr:colOff>245632</xdr:colOff>
      <xdr:row>299</xdr:row>
      <xdr:rowOff>99060</xdr:rowOff>
    </xdr:to>
    <xdr:pic>
      <xdr:nvPicPr>
        <xdr:cNvPr id="16" name="Picture 117">
          <a:extLst>
            <a:ext uri="{FF2B5EF4-FFF2-40B4-BE49-F238E27FC236}">
              <a16:creationId xmlns:a16="http://schemas.microsoft.com/office/drawing/2014/main" id="{3AB9C588-7647-4237-82F2-5CAEDA4699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49240" y="53545740"/>
          <a:ext cx="8267700" cy="3528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44824</xdr:colOff>
      <xdr:row>301</xdr:row>
      <xdr:rowOff>0</xdr:rowOff>
    </xdr:from>
    <xdr:to>
      <xdr:col>21</xdr:col>
      <xdr:colOff>404756</xdr:colOff>
      <xdr:row>319</xdr:row>
      <xdr:rowOff>99060</xdr:rowOff>
    </xdr:to>
    <xdr:pic>
      <xdr:nvPicPr>
        <xdr:cNvPr id="17" name="Picture 118">
          <a:extLst>
            <a:ext uri="{FF2B5EF4-FFF2-40B4-BE49-F238E27FC236}">
              <a16:creationId xmlns:a16="http://schemas.microsoft.com/office/drawing/2014/main" id="{1D567B35-DE2C-400E-983C-CDC0EB1FDD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88236" y="56246059"/>
          <a:ext cx="8047167" cy="3460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346</xdr:row>
      <xdr:rowOff>0</xdr:rowOff>
    </xdr:from>
    <xdr:to>
      <xdr:col>14</xdr:col>
      <xdr:colOff>178733</xdr:colOff>
      <xdr:row>364</xdr:row>
      <xdr:rowOff>90768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F88A50FF-3D57-4EA9-B4AC-65FD1F934F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16</xdr:col>
      <xdr:colOff>0</xdr:colOff>
      <xdr:row>346</xdr:row>
      <xdr:rowOff>0</xdr:rowOff>
    </xdr:from>
    <xdr:to>
      <xdr:col>30</xdr:col>
      <xdr:colOff>189619</xdr:colOff>
      <xdr:row>364</xdr:row>
      <xdr:rowOff>90768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5A695DE1-B3F8-44A9-9A5A-626AF7C268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386</xdr:row>
      <xdr:rowOff>0</xdr:rowOff>
    </xdr:from>
    <xdr:to>
      <xdr:col>14</xdr:col>
      <xdr:colOff>178733</xdr:colOff>
      <xdr:row>404</xdr:row>
      <xdr:rowOff>90769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38EBEFB3-8FE4-469E-89EB-5689B834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0</xdr:colOff>
      <xdr:row>386</xdr:row>
      <xdr:rowOff>0</xdr:rowOff>
    </xdr:from>
    <xdr:to>
      <xdr:col>30</xdr:col>
      <xdr:colOff>189619</xdr:colOff>
      <xdr:row>404</xdr:row>
      <xdr:rowOff>90769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A0E81F25-3382-42B0-9AE7-D483CEDAC4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13854</xdr:colOff>
      <xdr:row>414</xdr:row>
      <xdr:rowOff>96982</xdr:rowOff>
    </xdr:from>
    <xdr:to>
      <xdr:col>14</xdr:col>
      <xdr:colOff>192587</xdr:colOff>
      <xdr:row>432</xdr:row>
      <xdr:rowOff>187752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AE590C6-B988-487E-B269-70BD55B986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452</xdr:row>
      <xdr:rowOff>0</xdr:rowOff>
    </xdr:from>
    <xdr:to>
      <xdr:col>14</xdr:col>
      <xdr:colOff>178733</xdr:colOff>
      <xdr:row>470</xdr:row>
      <xdr:rowOff>90769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62F311A-794B-4D20-ADA3-5A5A0AF94E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16</xdr:col>
      <xdr:colOff>0</xdr:colOff>
      <xdr:row>452</xdr:row>
      <xdr:rowOff>0</xdr:rowOff>
    </xdr:from>
    <xdr:to>
      <xdr:col>30</xdr:col>
      <xdr:colOff>178733</xdr:colOff>
      <xdr:row>470</xdr:row>
      <xdr:rowOff>90769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73B7654D-2260-441B-B964-B02AD527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323849</xdr:colOff>
      <xdr:row>2</xdr:row>
      <xdr:rowOff>76200</xdr:rowOff>
    </xdr:from>
    <xdr:to>
      <xdr:col>26</xdr:col>
      <xdr:colOff>425822</xdr:colOff>
      <xdr:row>19</xdr:row>
      <xdr:rowOff>67235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8E1FE75E-1B51-4B8D-D429-1D681EECE835}"/>
            </a:ext>
          </a:extLst>
        </xdr:cNvPr>
        <xdr:cNvSpPr/>
      </xdr:nvSpPr>
      <xdr:spPr>
        <a:xfrm>
          <a:off x="1534084" y="457200"/>
          <a:ext cx="14624797" cy="32295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3</xdr:col>
      <xdr:colOff>22412</xdr:colOff>
      <xdr:row>3</xdr:row>
      <xdr:rowOff>179294</xdr:rowOff>
    </xdr:from>
    <xdr:to>
      <xdr:col>5</xdr:col>
      <xdr:colOff>179294</xdr:colOff>
      <xdr:row>5</xdr:row>
      <xdr:rowOff>179294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F47C1580-6389-4A99-9475-132E3A33E878}"/>
            </a:ext>
          </a:extLst>
        </xdr:cNvPr>
        <xdr:cNvSpPr txBox="1"/>
      </xdr:nvSpPr>
      <xdr:spPr>
        <a:xfrm>
          <a:off x="1837765" y="750794"/>
          <a:ext cx="1367117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seleziona</a:t>
          </a:r>
          <a:r>
            <a:rPr lang="it-IT" sz="1100" baseline="0"/>
            <a:t> fondo: </a:t>
          </a:r>
          <a:endParaRPr lang="it-IT" sz="1100"/>
        </a:p>
      </xdr:txBody>
    </xdr:sp>
    <xdr:clientData/>
  </xdr:twoCellAnchor>
  <xdr:twoCellAnchor>
    <xdr:from>
      <xdr:col>5</xdr:col>
      <xdr:colOff>331694</xdr:colOff>
      <xdr:row>3</xdr:row>
      <xdr:rowOff>152399</xdr:rowOff>
    </xdr:from>
    <xdr:to>
      <xdr:col>7</xdr:col>
      <xdr:colOff>309281</xdr:colOff>
      <xdr:row>5</xdr:row>
      <xdr:rowOff>152399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8527826-748E-49C8-A0C7-1352DC888CDC}"/>
            </a:ext>
          </a:extLst>
        </xdr:cNvPr>
        <xdr:cNvSpPr txBox="1"/>
      </xdr:nvSpPr>
      <xdr:spPr>
        <a:xfrm>
          <a:off x="3357282" y="723899"/>
          <a:ext cx="118782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FONDO1</a:t>
          </a:r>
          <a:r>
            <a:rPr lang="it-IT" sz="1100" baseline="0"/>
            <a:t>: </a:t>
          </a:r>
          <a:endParaRPr lang="it-IT" sz="1100"/>
        </a:p>
      </xdr:txBody>
    </xdr:sp>
    <xdr:clientData/>
  </xdr:twoCellAnchor>
  <xdr:twoCellAnchor>
    <xdr:from>
      <xdr:col>3</xdr:col>
      <xdr:colOff>19050</xdr:colOff>
      <xdr:row>6</xdr:row>
      <xdr:rowOff>64994</xdr:rowOff>
    </xdr:from>
    <xdr:to>
      <xdr:col>5</xdr:col>
      <xdr:colOff>179294</xdr:colOff>
      <xdr:row>8</xdr:row>
      <xdr:rowOff>64994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AF306C02-24B7-4BCC-A407-975B515CBD50}"/>
            </a:ext>
          </a:extLst>
        </xdr:cNvPr>
        <xdr:cNvSpPr txBox="1"/>
      </xdr:nvSpPr>
      <xdr:spPr>
        <a:xfrm>
          <a:off x="1834403" y="1207994"/>
          <a:ext cx="1370479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seleziona</a:t>
          </a:r>
          <a:r>
            <a:rPr lang="it-IT" sz="1100" baseline="0"/>
            <a:t> variabile: </a:t>
          </a:r>
          <a:endParaRPr lang="it-IT" sz="1100"/>
        </a:p>
      </xdr:txBody>
    </xdr:sp>
    <xdr:clientData/>
  </xdr:twoCellAnchor>
  <xdr:twoCellAnchor>
    <xdr:from>
      <xdr:col>5</xdr:col>
      <xdr:colOff>327212</xdr:colOff>
      <xdr:row>6</xdr:row>
      <xdr:rowOff>69475</xdr:rowOff>
    </xdr:from>
    <xdr:to>
      <xdr:col>7</xdr:col>
      <xdr:colOff>304799</xdr:colOff>
      <xdr:row>8</xdr:row>
      <xdr:rowOff>69475</xdr:rowOff>
    </xdr:to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486049D-5CA8-4FEF-8352-F620BFA0B5B0}"/>
            </a:ext>
          </a:extLst>
        </xdr:cNvPr>
        <xdr:cNvSpPr txBox="1"/>
      </xdr:nvSpPr>
      <xdr:spPr>
        <a:xfrm>
          <a:off x="3352800" y="1212475"/>
          <a:ext cx="118782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VARIABILE 1</a:t>
          </a:r>
          <a:r>
            <a:rPr lang="it-IT" sz="1100" baseline="0"/>
            <a:t>: </a:t>
          </a:r>
          <a:endParaRPr lang="it-IT" sz="1100"/>
        </a:p>
      </xdr:txBody>
    </xdr:sp>
    <xdr:clientData/>
  </xdr:twoCellAnchor>
  <xdr:twoCellAnchor>
    <xdr:from>
      <xdr:col>3</xdr:col>
      <xdr:colOff>36980</xdr:colOff>
      <xdr:row>8</xdr:row>
      <xdr:rowOff>127746</xdr:rowOff>
    </xdr:from>
    <xdr:to>
      <xdr:col>5</xdr:col>
      <xdr:colOff>197224</xdr:colOff>
      <xdr:row>10</xdr:row>
      <xdr:rowOff>127746</xdr:rowOff>
    </xdr:to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B5100257-2055-4605-AAEA-0F087188CB07}"/>
            </a:ext>
          </a:extLst>
        </xdr:cNvPr>
        <xdr:cNvSpPr txBox="1"/>
      </xdr:nvSpPr>
      <xdr:spPr>
        <a:xfrm>
          <a:off x="1852333" y="1651746"/>
          <a:ext cx="1370479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tipologia</a:t>
          </a:r>
          <a:r>
            <a:rPr lang="it-IT" sz="1100" baseline="0"/>
            <a:t> analisi	</a:t>
          </a:r>
          <a:endParaRPr lang="it-IT" sz="1100"/>
        </a:p>
      </xdr:txBody>
    </xdr:sp>
    <xdr:clientData/>
  </xdr:twoCellAnchor>
  <xdr:twoCellAnchor>
    <xdr:from>
      <xdr:col>5</xdr:col>
      <xdr:colOff>322730</xdr:colOff>
      <xdr:row>8</xdr:row>
      <xdr:rowOff>121022</xdr:rowOff>
    </xdr:from>
    <xdr:to>
      <xdr:col>11</xdr:col>
      <xdr:colOff>358588</xdr:colOff>
      <xdr:row>12</xdr:row>
      <xdr:rowOff>44824</xdr:rowOff>
    </xdr:to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DCEDD99B-9D3A-40D8-AE59-770BBD8C3FA9}"/>
            </a:ext>
          </a:extLst>
        </xdr:cNvPr>
        <xdr:cNvSpPr txBox="1"/>
      </xdr:nvSpPr>
      <xdr:spPr>
        <a:xfrm>
          <a:off x="3348318" y="1645022"/>
          <a:ext cx="3666564" cy="6858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1) valori assoluti</a:t>
          </a:r>
        </a:p>
        <a:p>
          <a:r>
            <a:rPr lang="it-IT" sz="1100"/>
            <a:t>2) tasso</a:t>
          </a:r>
          <a:r>
            <a:rPr lang="it-IT" sz="1100" baseline="0"/>
            <a:t> (rapporto rispetto alla riserva di periodo)</a:t>
          </a:r>
        </a:p>
        <a:p>
          <a:r>
            <a:rPr lang="it-IT" sz="1100" baseline="0"/>
            <a:t>3) smontamento (rapporto rispetto alla riserva al tempo 0)</a:t>
          </a:r>
          <a:endParaRPr lang="it-IT" sz="1100"/>
        </a:p>
      </xdr:txBody>
    </xdr:sp>
    <xdr:clientData/>
  </xdr:twoCellAnchor>
  <xdr:twoCellAnchor>
    <xdr:from>
      <xdr:col>14</xdr:col>
      <xdr:colOff>582706</xdr:colOff>
      <xdr:row>3</xdr:row>
      <xdr:rowOff>145678</xdr:rowOff>
    </xdr:from>
    <xdr:to>
      <xdr:col>22</xdr:col>
      <xdr:colOff>369795</xdr:colOff>
      <xdr:row>14</xdr:row>
      <xdr:rowOff>56030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E5073A9-B6CF-42D1-9CF4-867F50036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11207</xdr:colOff>
      <xdr:row>15</xdr:row>
      <xdr:rowOff>112059</xdr:rowOff>
    </xdr:from>
    <xdr:to>
      <xdr:col>25</xdr:col>
      <xdr:colOff>537883</xdr:colOff>
      <xdr:row>18</xdr:row>
      <xdr:rowOff>121584</xdr:rowOff>
    </xdr:to>
    <xdr:pic>
      <xdr:nvPicPr>
        <xdr:cNvPr id="11" name="Immagine 10">
          <a:extLst>
            <a:ext uri="{FF2B5EF4-FFF2-40B4-BE49-F238E27FC236}">
              <a16:creationId xmlns:a16="http://schemas.microsoft.com/office/drawing/2014/main" id="{A63BF230-9962-B59E-633B-5A1BFEE6C7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6560" y="2969559"/>
          <a:ext cx="13839264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oberto Bruni" id="{3C4D6A4E-5B36-4ECE-B5D6-35C08D6096B8}" userId="Roberto Bruni" providerId="None"/>
</personList>
</file>

<file path=xl/theme/theme1.xml><?xml version="1.0" encoding="utf-8"?>
<a:theme xmlns:a="http://schemas.openxmlformats.org/drawingml/2006/main" name="Tema di Office">
  <a:themeElements>
    <a:clrScheme name="Blu cal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07T13:31:16.38" personId="{3C4D6A4E-5B36-4ECE-B5D6-35C08D6096B8}" id="{F2B7B6F8-0CBF-4F70-880A-19AAEB2B9E1E}">
    <text>Da implementare: inserire questo testo al posto del nome del grafico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1" dT="2023-02-07T13:31:16.38" personId="{3C4D6A4E-5B36-4ECE-B5D6-35C08D6096B8}" id="{CAA0DD9B-233A-49A1-947D-A32F19B4EC70}">
    <text>Da implementare: inserire questo testo al posto del nome del grafico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A799BD-A84E-4676-9697-D7465D76E7D0}">
  <we:reference id="wa104380862" version="3.0.0.0" store="it-IT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A42D4-884D-4B55-BF9B-A582E091B1F7}">
  <sheetPr codeName="Foglio4"/>
  <dimension ref="A1:C1000"/>
  <sheetViews>
    <sheetView zoomScale="85" zoomScaleNormal="85" workbookViewId="0">
      <selection activeCell="A22" sqref="A2:A22"/>
    </sheetView>
  </sheetViews>
  <sheetFormatPr defaultColWidth="9.1796875" defaultRowHeight="14.5" x14ac:dyDescent="0.4"/>
  <cols>
    <col min="1" max="1" width="28.54296875" style="3" bestFit="1" customWidth="1"/>
    <col min="2" max="2" width="13" style="3" customWidth="1"/>
    <col min="3" max="3" width="27.26953125" style="3" customWidth="1"/>
    <col min="4" max="16384" width="9.1796875" style="3"/>
  </cols>
  <sheetData>
    <row r="1" spans="1:3" ht="17" thickBot="1" x14ac:dyDescent="0.5">
      <c r="A1" s="2" t="s">
        <v>2</v>
      </c>
      <c r="B1" s="2" t="s">
        <v>3</v>
      </c>
      <c r="C1" s="2" t="s">
        <v>4</v>
      </c>
    </row>
    <row r="2" spans="1:3" s="4" customFormat="1" x14ac:dyDescent="0.4">
      <c r="A2" s="1" t="s">
        <v>5</v>
      </c>
    </row>
    <row r="3" spans="1:3" s="4" customFormat="1" x14ac:dyDescent="0.4">
      <c r="A3" s="1" t="s">
        <v>0</v>
      </c>
    </row>
    <row r="4" spans="1:3" s="4" customFormat="1" x14ac:dyDescent="0.4">
      <c r="A4" s="1" t="s">
        <v>1</v>
      </c>
    </row>
    <row r="5" spans="1:3" s="4" customFormat="1" x14ac:dyDescent="0.4">
      <c r="A5" s="1" t="s">
        <v>6</v>
      </c>
    </row>
    <row r="6" spans="1:3" s="4" customFormat="1" x14ac:dyDescent="0.4">
      <c r="A6" s="1" t="s">
        <v>7</v>
      </c>
    </row>
    <row r="7" spans="1:3" s="4" customFormat="1" x14ac:dyDescent="0.4">
      <c r="A7" s="1" t="s">
        <v>8</v>
      </c>
    </row>
    <row r="8" spans="1:3" s="4" customFormat="1" x14ac:dyDescent="0.4">
      <c r="A8" s="1" t="s">
        <v>9</v>
      </c>
    </row>
    <row r="9" spans="1:3" s="4" customFormat="1" x14ac:dyDescent="0.4">
      <c r="A9" s="1" t="s">
        <v>10</v>
      </c>
    </row>
    <row r="10" spans="1:3" s="4" customFormat="1" x14ac:dyDescent="0.4">
      <c r="A10" s="1" t="s">
        <v>11</v>
      </c>
    </row>
    <row r="11" spans="1:3" s="4" customFormat="1" x14ac:dyDescent="0.4">
      <c r="A11" s="1" t="s">
        <v>12</v>
      </c>
    </row>
    <row r="12" spans="1:3" s="4" customFormat="1" x14ac:dyDescent="0.4">
      <c r="A12" s="1" t="s">
        <v>13</v>
      </c>
    </row>
    <row r="13" spans="1:3" s="4" customFormat="1" x14ac:dyDescent="0.4">
      <c r="A13" s="1" t="s">
        <v>14</v>
      </c>
    </row>
    <row r="14" spans="1:3" s="4" customFormat="1" x14ac:dyDescent="0.4">
      <c r="A14" s="1" t="s">
        <v>15</v>
      </c>
    </row>
    <row r="15" spans="1:3" s="4" customFormat="1" x14ac:dyDescent="0.4">
      <c r="A15" s="1" t="s">
        <v>16</v>
      </c>
    </row>
    <row r="16" spans="1:3" s="4" customFormat="1" x14ac:dyDescent="0.4">
      <c r="A16" s="1" t="s">
        <v>17</v>
      </c>
    </row>
    <row r="17" spans="1:1" s="4" customFormat="1" x14ac:dyDescent="0.4">
      <c r="A17" s="1" t="s">
        <v>18</v>
      </c>
    </row>
    <row r="18" spans="1:1" s="4" customFormat="1" x14ac:dyDescent="0.4">
      <c r="A18" s="1" t="s">
        <v>22</v>
      </c>
    </row>
    <row r="19" spans="1:1" s="4" customFormat="1" x14ac:dyDescent="0.4">
      <c r="A19" s="1" t="s">
        <v>21</v>
      </c>
    </row>
    <row r="20" spans="1:1" s="4" customFormat="1" x14ac:dyDescent="0.4">
      <c r="A20" s="1" t="s">
        <v>23</v>
      </c>
    </row>
    <row r="21" spans="1:1" s="4" customFormat="1" x14ac:dyDescent="0.4">
      <c r="A21" s="1"/>
    </row>
    <row r="22" spans="1:1" s="4" customFormat="1" x14ac:dyDescent="0.4"/>
    <row r="23" spans="1:1" s="4" customFormat="1" x14ac:dyDescent="0.4"/>
    <row r="24" spans="1:1" s="4" customFormat="1" x14ac:dyDescent="0.4"/>
    <row r="25" spans="1:1" s="4" customFormat="1" x14ac:dyDescent="0.4"/>
    <row r="26" spans="1:1" s="4" customFormat="1" x14ac:dyDescent="0.4"/>
    <row r="27" spans="1:1" s="4" customFormat="1" x14ac:dyDescent="0.4"/>
    <row r="28" spans="1:1" s="4" customFormat="1" x14ac:dyDescent="0.4"/>
    <row r="29" spans="1:1" s="4" customFormat="1" x14ac:dyDescent="0.4"/>
    <row r="30" spans="1:1" s="4" customFormat="1" x14ac:dyDescent="0.4"/>
    <row r="31" spans="1:1" s="4" customFormat="1" x14ac:dyDescent="0.4"/>
    <row r="32" spans="1:1" s="4" customFormat="1" x14ac:dyDescent="0.4"/>
    <row r="33" s="4" customFormat="1" x14ac:dyDescent="0.4"/>
    <row r="34" s="4" customFormat="1" x14ac:dyDescent="0.4"/>
    <row r="35" s="4" customFormat="1" x14ac:dyDescent="0.4"/>
    <row r="36" s="4" customFormat="1" x14ac:dyDescent="0.4"/>
    <row r="37" s="4" customFormat="1" x14ac:dyDescent="0.4"/>
    <row r="38" s="4" customFormat="1" x14ac:dyDescent="0.4"/>
    <row r="39" s="4" customFormat="1" x14ac:dyDescent="0.4"/>
    <row r="40" s="4" customFormat="1" x14ac:dyDescent="0.4"/>
    <row r="41" s="4" customFormat="1" x14ac:dyDescent="0.4"/>
    <row r="42" s="4" customFormat="1" x14ac:dyDescent="0.4"/>
    <row r="43" s="4" customFormat="1" x14ac:dyDescent="0.4"/>
    <row r="44" s="4" customFormat="1" x14ac:dyDescent="0.4"/>
    <row r="45" s="4" customFormat="1" x14ac:dyDescent="0.4"/>
    <row r="46" s="4" customFormat="1" x14ac:dyDescent="0.4"/>
    <row r="47" s="4" customFormat="1" x14ac:dyDescent="0.4"/>
    <row r="48" s="4" customFormat="1" x14ac:dyDescent="0.4"/>
    <row r="49" s="4" customFormat="1" x14ac:dyDescent="0.4"/>
    <row r="50" s="4" customFormat="1" x14ac:dyDescent="0.4"/>
    <row r="51" s="4" customFormat="1" x14ac:dyDescent="0.4"/>
    <row r="52" s="4" customFormat="1" x14ac:dyDescent="0.4"/>
    <row r="53" s="4" customFormat="1" x14ac:dyDescent="0.4"/>
    <row r="54" s="4" customFormat="1" x14ac:dyDescent="0.4"/>
    <row r="55" s="4" customFormat="1" x14ac:dyDescent="0.4"/>
    <row r="56" s="4" customFormat="1" x14ac:dyDescent="0.4"/>
    <row r="57" s="4" customFormat="1" x14ac:dyDescent="0.4"/>
    <row r="58" s="4" customFormat="1" x14ac:dyDescent="0.4"/>
    <row r="59" s="4" customFormat="1" x14ac:dyDescent="0.4"/>
    <row r="60" s="4" customFormat="1" x14ac:dyDescent="0.4"/>
    <row r="61" s="4" customFormat="1" x14ac:dyDescent="0.4"/>
    <row r="62" s="4" customFormat="1" x14ac:dyDescent="0.4"/>
    <row r="63" s="4" customFormat="1" x14ac:dyDescent="0.4"/>
    <row r="64" s="4" customFormat="1" x14ac:dyDescent="0.4"/>
    <row r="65" s="4" customFormat="1" x14ac:dyDescent="0.4"/>
    <row r="66" s="4" customFormat="1" x14ac:dyDescent="0.4"/>
    <row r="67" s="4" customFormat="1" x14ac:dyDescent="0.4"/>
    <row r="68" s="4" customFormat="1" x14ac:dyDescent="0.4"/>
    <row r="69" s="4" customFormat="1" x14ac:dyDescent="0.4"/>
    <row r="70" s="4" customFormat="1" x14ac:dyDescent="0.4"/>
    <row r="71" s="4" customFormat="1" x14ac:dyDescent="0.4"/>
    <row r="72" s="4" customFormat="1" x14ac:dyDescent="0.4"/>
    <row r="73" s="4" customFormat="1" x14ac:dyDescent="0.4"/>
    <row r="74" s="4" customFormat="1" x14ac:dyDescent="0.4"/>
    <row r="75" s="4" customFormat="1" x14ac:dyDescent="0.4"/>
    <row r="76" s="4" customFormat="1" x14ac:dyDescent="0.4"/>
    <row r="77" s="4" customFormat="1" x14ac:dyDescent="0.4"/>
    <row r="78" s="4" customFormat="1" x14ac:dyDescent="0.4"/>
    <row r="79" s="4" customFormat="1" x14ac:dyDescent="0.4"/>
    <row r="80" s="4" customFormat="1" x14ac:dyDescent="0.4"/>
    <row r="81" s="4" customFormat="1" x14ac:dyDescent="0.4"/>
    <row r="82" s="4" customFormat="1" x14ac:dyDescent="0.4"/>
    <row r="83" s="4" customFormat="1" x14ac:dyDescent="0.4"/>
    <row r="84" s="4" customFormat="1" x14ac:dyDescent="0.4"/>
    <row r="85" s="4" customFormat="1" x14ac:dyDescent="0.4"/>
    <row r="86" s="4" customFormat="1" x14ac:dyDescent="0.4"/>
    <row r="87" s="4" customFormat="1" x14ac:dyDescent="0.4"/>
    <row r="88" s="4" customFormat="1" x14ac:dyDescent="0.4"/>
    <row r="89" s="4" customFormat="1" x14ac:dyDescent="0.4"/>
    <row r="90" s="4" customFormat="1" x14ac:dyDescent="0.4"/>
    <row r="91" s="4" customFormat="1" x14ac:dyDescent="0.4"/>
    <row r="92" s="4" customFormat="1" x14ac:dyDescent="0.4"/>
    <row r="93" s="4" customFormat="1" x14ac:dyDescent="0.4"/>
    <row r="94" s="4" customFormat="1" x14ac:dyDescent="0.4"/>
    <row r="95" s="4" customFormat="1" x14ac:dyDescent="0.4"/>
    <row r="96" s="4" customFormat="1" x14ac:dyDescent="0.4"/>
    <row r="97" s="4" customFormat="1" x14ac:dyDescent="0.4"/>
    <row r="98" s="4" customFormat="1" x14ac:dyDescent="0.4"/>
    <row r="99" s="4" customFormat="1" x14ac:dyDescent="0.4"/>
    <row r="100" s="4" customFormat="1" x14ac:dyDescent="0.4"/>
    <row r="101" s="4" customFormat="1" x14ac:dyDescent="0.4"/>
    <row r="102" s="4" customFormat="1" x14ac:dyDescent="0.4"/>
    <row r="103" s="4" customFormat="1" x14ac:dyDescent="0.4"/>
    <row r="104" s="4" customFormat="1" x14ac:dyDescent="0.4"/>
    <row r="105" s="4" customFormat="1" x14ac:dyDescent="0.4"/>
    <row r="106" s="4" customFormat="1" x14ac:dyDescent="0.4"/>
    <row r="107" s="4" customFormat="1" x14ac:dyDescent="0.4"/>
    <row r="108" s="4" customFormat="1" x14ac:dyDescent="0.4"/>
    <row r="109" s="4" customFormat="1" x14ac:dyDescent="0.4"/>
    <row r="110" s="4" customFormat="1" x14ac:dyDescent="0.4"/>
    <row r="111" s="4" customFormat="1" x14ac:dyDescent="0.4"/>
    <row r="112" s="4" customFormat="1" x14ac:dyDescent="0.4"/>
    <row r="113" s="4" customFormat="1" x14ac:dyDescent="0.4"/>
    <row r="114" s="4" customFormat="1" x14ac:dyDescent="0.4"/>
    <row r="115" s="4" customFormat="1" x14ac:dyDescent="0.4"/>
    <row r="116" s="4" customFormat="1" x14ac:dyDescent="0.4"/>
    <row r="117" s="4" customFormat="1" x14ac:dyDescent="0.4"/>
    <row r="118" s="4" customFormat="1" x14ac:dyDescent="0.4"/>
    <row r="119" s="4" customFormat="1" x14ac:dyDescent="0.4"/>
    <row r="120" s="4" customFormat="1" x14ac:dyDescent="0.4"/>
    <row r="121" s="4" customFormat="1" x14ac:dyDescent="0.4"/>
    <row r="122" s="4" customFormat="1" x14ac:dyDescent="0.4"/>
    <row r="123" s="4" customFormat="1" x14ac:dyDescent="0.4"/>
    <row r="124" s="4" customFormat="1" x14ac:dyDescent="0.4"/>
    <row r="125" s="4" customFormat="1" x14ac:dyDescent="0.4"/>
    <row r="126" s="4" customFormat="1" x14ac:dyDescent="0.4"/>
    <row r="127" s="4" customFormat="1" x14ac:dyDescent="0.4"/>
    <row r="128" s="4" customFormat="1" x14ac:dyDescent="0.4"/>
    <row r="129" s="4" customFormat="1" x14ac:dyDescent="0.4"/>
    <row r="130" s="4" customFormat="1" x14ac:dyDescent="0.4"/>
    <row r="131" s="4" customFormat="1" x14ac:dyDescent="0.4"/>
    <row r="132" s="4" customFormat="1" x14ac:dyDescent="0.4"/>
    <row r="133" s="4" customFormat="1" x14ac:dyDescent="0.4"/>
    <row r="134" s="4" customFormat="1" x14ac:dyDescent="0.4"/>
    <row r="135" s="4" customFormat="1" x14ac:dyDescent="0.4"/>
    <row r="136" s="4" customFormat="1" x14ac:dyDescent="0.4"/>
    <row r="137" s="4" customFormat="1" x14ac:dyDescent="0.4"/>
    <row r="138" s="4" customFormat="1" x14ac:dyDescent="0.4"/>
    <row r="139" s="4" customFormat="1" x14ac:dyDescent="0.4"/>
    <row r="140" s="4" customFormat="1" x14ac:dyDescent="0.4"/>
    <row r="141" s="4" customFormat="1" x14ac:dyDescent="0.4"/>
    <row r="142" s="4" customFormat="1" x14ac:dyDescent="0.4"/>
    <row r="143" s="4" customFormat="1" x14ac:dyDescent="0.4"/>
    <row r="144" s="4" customFormat="1" x14ac:dyDescent="0.4"/>
    <row r="145" s="4" customFormat="1" x14ac:dyDescent="0.4"/>
    <row r="146" s="4" customFormat="1" x14ac:dyDescent="0.4"/>
    <row r="147" s="4" customFormat="1" x14ac:dyDescent="0.4"/>
    <row r="148" s="4" customFormat="1" x14ac:dyDescent="0.4"/>
    <row r="149" s="4" customFormat="1" x14ac:dyDescent="0.4"/>
    <row r="150" s="4" customFormat="1" x14ac:dyDescent="0.4"/>
    <row r="151" s="4" customFormat="1" x14ac:dyDescent="0.4"/>
    <row r="152" s="4" customFormat="1" x14ac:dyDescent="0.4"/>
    <row r="153" s="4" customFormat="1" x14ac:dyDescent="0.4"/>
    <row r="154" s="4" customFormat="1" x14ac:dyDescent="0.4"/>
    <row r="155" s="4" customFormat="1" x14ac:dyDescent="0.4"/>
    <row r="156" s="4" customFormat="1" x14ac:dyDescent="0.4"/>
    <row r="157" s="4" customFormat="1" x14ac:dyDescent="0.4"/>
    <row r="158" s="4" customFormat="1" x14ac:dyDescent="0.4"/>
    <row r="159" s="4" customFormat="1" x14ac:dyDescent="0.4"/>
    <row r="160" s="4" customFormat="1" x14ac:dyDescent="0.4"/>
    <row r="161" s="4" customFormat="1" x14ac:dyDescent="0.4"/>
    <row r="162" s="4" customFormat="1" x14ac:dyDescent="0.4"/>
    <row r="163" s="4" customFormat="1" x14ac:dyDescent="0.4"/>
    <row r="164" s="4" customFormat="1" x14ac:dyDescent="0.4"/>
    <row r="165" s="4" customFormat="1" x14ac:dyDescent="0.4"/>
    <row r="166" s="4" customFormat="1" x14ac:dyDescent="0.4"/>
    <row r="167" s="4" customFormat="1" x14ac:dyDescent="0.4"/>
    <row r="168" s="4" customFormat="1" x14ac:dyDescent="0.4"/>
    <row r="169" s="4" customFormat="1" x14ac:dyDescent="0.4"/>
    <row r="170" s="4" customFormat="1" x14ac:dyDescent="0.4"/>
    <row r="171" s="4" customFormat="1" x14ac:dyDescent="0.4"/>
    <row r="172" s="4" customFormat="1" x14ac:dyDescent="0.4"/>
    <row r="173" s="4" customFormat="1" x14ac:dyDescent="0.4"/>
    <row r="174" s="4" customFormat="1" x14ac:dyDescent="0.4"/>
    <row r="175" s="4" customFormat="1" x14ac:dyDescent="0.4"/>
    <row r="176" s="4" customFormat="1" x14ac:dyDescent="0.4"/>
    <row r="177" s="4" customFormat="1" x14ac:dyDescent="0.4"/>
    <row r="178" s="4" customFormat="1" x14ac:dyDescent="0.4"/>
    <row r="179" s="4" customFormat="1" x14ac:dyDescent="0.4"/>
    <row r="180" s="4" customFormat="1" x14ac:dyDescent="0.4"/>
    <row r="181" s="4" customFormat="1" x14ac:dyDescent="0.4"/>
    <row r="182" s="4" customFormat="1" x14ac:dyDescent="0.4"/>
    <row r="183" s="4" customFormat="1" x14ac:dyDescent="0.4"/>
    <row r="184" s="4" customFormat="1" x14ac:dyDescent="0.4"/>
    <row r="185" s="4" customFormat="1" x14ac:dyDescent="0.4"/>
    <row r="186" s="4" customFormat="1" x14ac:dyDescent="0.4"/>
    <row r="187" s="4" customFormat="1" x14ac:dyDescent="0.4"/>
    <row r="188" s="4" customFormat="1" x14ac:dyDescent="0.4"/>
    <row r="189" s="4" customFormat="1" x14ac:dyDescent="0.4"/>
    <row r="190" s="4" customFormat="1" x14ac:dyDescent="0.4"/>
    <row r="191" s="4" customFormat="1" x14ac:dyDescent="0.4"/>
    <row r="192" s="4" customFormat="1" x14ac:dyDescent="0.4"/>
    <row r="193" s="4" customFormat="1" x14ac:dyDescent="0.4"/>
    <row r="194" s="4" customFormat="1" x14ac:dyDescent="0.4"/>
    <row r="195" s="4" customFormat="1" x14ac:dyDescent="0.4"/>
    <row r="196" s="4" customFormat="1" x14ac:dyDescent="0.4"/>
    <row r="197" s="4" customFormat="1" x14ac:dyDescent="0.4"/>
    <row r="198" s="4" customFormat="1" x14ac:dyDescent="0.4"/>
    <row r="199" s="4" customFormat="1" x14ac:dyDescent="0.4"/>
    <row r="200" s="4" customFormat="1" x14ac:dyDescent="0.4"/>
    <row r="201" s="4" customFormat="1" x14ac:dyDescent="0.4"/>
    <row r="202" s="4" customFormat="1" x14ac:dyDescent="0.4"/>
    <row r="203" s="4" customFormat="1" x14ac:dyDescent="0.4"/>
    <row r="204" s="4" customFormat="1" x14ac:dyDescent="0.4"/>
    <row r="205" s="4" customFormat="1" x14ac:dyDescent="0.4"/>
    <row r="206" s="4" customFormat="1" x14ac:dyDescent="0.4"/>
    <row r="207" s="4" customFormat="1" x14ac:dyDescent="0.4"/>
    <row r="208" s="4" customFormat="1" x14ac:dyDescent="0.4"/>
    <row r="209" s="4" customFormat="1" x14ac:dyDescent="0.4"/>
    <row r="210" s="4" customFormat="1" x14ac:dyDescent="0.4"/>
    <row r="211" s="4" customFormat="1" x14ac:dyDescent="0.4"/>
    <row r="212" s="4" customFormat="1" x14ac:dyDescent="0.4"/>
    <row r="213" s="4" customFormat="1" x14ac:dyDescent="0.4"/>
    <row r="214" s="4" customFormat="1" x14ac:dyDescent="0.4"/>
    <row r="215" s="4" customFormat="1" x14ac:dyDescent="0.4"/>
    <row r="216" s="4" customFormat="1" x14ac:dyDescent="0.4"/>
    <row r="217" s="4" customFormat="1" x14ac:dyDescent="0.4"/>
    <row r="218" s="4" customFormat="1" x14ac:dyDescent="0.4"/>
    <row r="219" s="4" customFormat="1" x14ac:dyDescent="0.4"/>
    <row r="220" s="4" customFormat="1" x14ac:dyDescent="0.4"/>
    <row r="221" s="4" customFormat="1" x14ac:dyDescent="0.4"/>
    <row r="222" s="4" customFormat="1" x14ac:dyDescent="0.4"/>
    <row r="223" s="4" customFormat="1" x14ac:dyDescent="0.4"/>
    <row r="224" s="4" customFormat="1" x14ac:dyDescent="0.4"/>
    <row r="225" s="4" customFormat="1" x14ac:dyDescent="0.4"/>
    <row r="226" s="4" customFormat="1" x14ac:dyDescent="0.4"/>
    <row r="227" s="4" customFormat="1" x14ac:dyDescent="0.4"/>
    <row r="228" s="4" customFormat="1" x14ac:dyDescent="0.4"/>
    <row r="229" s="4" customFormat="1" x14ac:dyDescent="0.4"/>
    <row r="230" s="4" customFormat="1" x14ac:dyDescent="0.4"/>
    <row r="231" s="4" customFormat="1" x14ac:dyDescent="0.4"/>
    <row r="232" s="4" customFormat="1" x14ac:dyDescent="0.4"/>
    <row r="233" s="4" customFormat="1" x14ac:dyDescent="0.4"/>
    <row r="234" s="4" customFormat="1" x14ac:dyDescent="0.4"/>
    <row r="235" s="4" customFormat="1" x14ac:dyDescent="0.4"/>
    <row r="236" s="4" customFormat="1" x14ac:dyDescent="0.4"/>
    <row r="237" s="4" customFormat="1" x14ac:dyDescent="0.4"/>
    <row r="238" s="4" customFormat="1" x14ac:dyDescent="0.4"/>
    <row r="239" s="4" customFormat="1" x14ac:dyDescent="0.4"/>
    <row r="240" s="4" customFormat="1" x14ac:dyDescent="0.4"/>
    <row r="241" s="4" customFormat="1" x14ac:dyDescent="0.4"/>
    <row r="242" s="4" customFormat="1" x14ac:dyDescent="0.4"/>
    <row r="243" s="4" customFormat="1" x14ac:dyDescent="0.4"/>
    <row r="244" s="4" customFormat="1" x14ac:dyDescent="0.4"/>
    <row r="245" s="4" customFormat="1" x14ac:dyDescent="0.4"/>
    <row r="246" s="4" customFormat="1" x14ac:dyDescent="0.4"/>
    <row r="247" s="4" customFormat="1" x14ac:dyDescent="0.4"/>
    <row r="248" s="4" customFormat="1" x14ac:dyDescent="0.4"/>
    <row r="249" s="4" customFormat="1" x14ac:dyDescent="0.4"/>
    <row r="250" s="4" customFormat="1" x14ac:dyDescent="0.4"/>
    <row r="251" s="4" customFormat="1" x14ac:dyDescent="0.4"/>
    <row r="252" s="4" customFormat="1" x14ac:dyDescent="0.4"/>
    <row r="253" s="4" customFormat="1" x14ac:dyDescent="0.4"/>
    <row r="254" s="4" customFormat="1" x14ac:dyDescent="0.4"/>
    <row r="255" s="4" customFormat="1" x14ac:dyDescent="0.4"/>
    <row r="256" s="4" customFormat="1" x14ac:dyDescent="0.4"/>
    <row r="257" s="4" customFormat="1" x14ac:dyDescent="0.4"/>
    <row r="258" s="4" customFormat="1" x14ac:dyDescent="0.4"/>
    <row r="259" s="4" customFormat="1" x14ac:dyDescent="0.4"/>
    <row r="260" s="4" customFormat="1" x14ac:dyDescent="0.4"/>
    <row r="261" s="4" customFormat="1" x14ac:dyDescent="0.4"/>
    <row r="262" s="4" customFormat="1" x14ac:dyDescent="0.4"/>
    <row r="263" s="4" customFormat="1" x14ac:dyDescent="0.4"/>
    <row r="264" s="4" customFormat="1" x14ac:dyDescent="0.4"/>
    <row r="265" s="4" customFormat="1" x14ac:dyDescent="0.4"/>
    <row r="266" s="4" customFormat="1" x14ac:dyDescent="0.4"/>
    <row r="267" s="4" customFormat="1" x14ac:dyDescent="0.4"/>
    <row r="268" s="4" customFormat="1" x14ac:dyDescent="0.4"/>
    <row r="269" s="4" customFormat="1" x14ac:dyDescent="0.4"/>
    <row r="270" s="4" customFormat="1" x14ac:dyDescent="0.4"/>
    <row r="271" s="4" customFormat="1" x14ac:dyDescent="0.4"/>
    <row r="272" s="4" customFormat="1" x14ac:dyDescent="0.4"/>
    <row r="273" s="4" customFormat="1" x14ac:dyDescent="0.4"/>
    <row r="274" s="4" customFormat="1" x14ac:dyDescent="0.4"/>
    <row r="275" s="4" customFormat="1" x14ac:dyDescent="0.4"/>
    <row r="276" s="4" customFormat="1" x14ac:dyDescent="0.4"/>
    <row r="277" s="4" customFormat="1" x14ac:dyDescent="0.4"/>
    <row r="278" s="4" customFormat="1" x14ac:dyDescent="0.4"/>
    <row r="279" s="4" customFormat="1" x14ac:dyDescent="0.4"/>
    <row r="280" s="4" customFormat="1" x14ac:dyDescent="0.4"/>
    <row r="281" s="4" customFormat="1" x14ac:dyDescent="0.4"/>
    <row r="282" s="4" customFormat="1" x14ac:dyDescent="0.4"/>
    <row r="283" s="4" customFormat="1" x14ac:dyDescent="0.4"/>
    <row r="284" s="4" customFormat="1" x14ac:dyDescent="0.4"/>
    <row r="285" s="4" customFormat="1" x14ac:dyDescent="0.4"/>
    <row r="286" s="4" customFormat="1" x14ac:dyDescent="0.4"/>
    <row r="287" s="4" customFormat="1" x14ac:dyDescent="0.4"/>
    <row r="288" s="4" customFormat="1" x14ac:dyDescent="0.4"/>
    <row r="289" s="4" customFormat="1" x14ac:dyDescent="0.4"/>
    <row r="290" s="4" customFormat="1" x14ac:dyDescent="0.4"/>
    <row r="291" s="4" customFormat="1" x14ac:dyDescent="0.4"/>
    <row r="292" s="4" customFormat="1" x14ac:dyDescent="0.4"/>
    <row r="293" s="4" customFormat="1" x14ac:dyDescent="0.4"/>
    <row r="294" s="4" customFormat="1" x14ac:dyDescent="0.4"/>
    <row r="295" s="4" customFormat="1" x14ac:dyDescent="0.4"/>
    <row r="296" s="4" customFormat="1" x14ac:dyDescent="0.4"/>
    <row r="297" s="4" customFormat="1" x14ac:dyDescent="0.4"/>
    <row r="298" s="4" customFormat="1" x14ac:dyDescent="0.4"/>
    <row r="299" s="4" customFormat="1" x14ac:dyDescent="0.4"/>
    <row r="300" s="4" customFormat="1" x14ac:dyDescent="0.4"/>
    <row r="301" s="4" customFormat="1" x14ac:dyDescent="0.4"/>
    <row r="302" s="4" customFormat="1" x14ac:dyDescent="0.4"/>
    <row r="303" s="4" customFormat="1" x14ac:dyDescent="0.4"/>
    <row r="304" s="4" customFormat="1" x14ac:dyDescent="0.4"/>
    <row r="305" s="4" customFormat="1" x14ac:dyDescent="0.4"/>
    <row r="306" s="4" customFormat="1" x14ac:dyDescent="0.4"/>
    <row r="307" s="4" customFormat="1" x14ac:dyDescent="0.4"/>
    <row r="308" s="4" customFormat="1" x14ac:dyDescent="0.4"/>
    <row r="309" s="4" customFormat="1" x14ac:dyDescent="0.4"/>
    <row r="310" s="4" customFormat="1" x14ac:dyDescent="0.4"/>
    <row r="311" s="4" customFormat="1" x14ac:dyDescent="0.4"/>
    <row r="312" s="4" customFormat="1" x14ac:dyDescent="0.4"/>
    <row r="313" s="4" customFormat="1" x14ac:dyDescent="0.4"/>
    <row r="314" s="4" customFormat="1" x14ac:dyDescent="0.4"/>
    <row r="315" s="4" customFormat="1" x14ac:dyDescent="0.4"/>
    <row r="316" s="4" customFormat="1" x14ac:dyDescent="0.4"/>
    <row r="317" s="4" customFormat="1" x14ac:dyDescent="0.4"/>
    <row r="318" s="4" customFormat="1" x14ac:dyDescent="0.4"/>
    <row r="319" s="4" customFormat="1" x14ac:dyDescent="0.4"/>
    <row r="320" s="4" customFormat="1" x14ac:dyDescent="0.4"/>
    <row r="321" s="4" customFormat="1" x14ac:dyDescent="0.4"/>
    <row r="322" s="4" customFormat="1" x14ac:dyDescent="0.4"/>
    <row r="323" s="4" customFormat="1" x14ac:dyDescent="0.4"/>
    <row r="324" s="4" customFormat="1" x14ac:dyDescent="0.4"/>
    <row r="325" s="4" customFormat="1" x14ac:dyDescent="0.4"/>
    <row r="326" s="4" customFormat="1" x14ac:dyDescent="0.4"/>
    <row r="327" s="4" customFormat="1" x14ac:dyDescent="0.4"/>
    <row r="328" s="4" customFormat="1" x14ac:dyDescent="0.4"/>
    <row r="329" s="4" customFormat="1" x14ac:dyDescent="0.4"/>
    <row r="330" s="4" customFormat="1" x14ac:dyDescent="0.4"/>
    <row r="331" s="4" customFormat="1" x14ac:dyDescent="0.4"/>
    <row r="332" s="4" customFormat="1" x14ac:dyDescent="0.4"/>
    <row r="333" s="4" customFormat="1" x14ac:dyDescent="0.4"/>
    <row r="334" s="4" customFormat="1" x14ac:dyDescent="0.4"/>
    <row r="335" s="4" customFormat="1" x14ac:dyDescent="0.4"/>
    <row r="336" s="4" customFormat="1" x14ac:dyDescent="0.4"/>
    <row r="337" s="4" customFormat="1" x14ac:dyDescent="0.4"/>
    <row r="338" s="4" customFormat="1" x14ac:dyDescent="0.4"/>
    <row r="339" s="4" customFormat="1" x14ac:dyDescent="0.4"/>
    <row r="340" s="4" customFormat="1" x14ac:dyDescent="0.4"/>
    <row r="341" s="4" customFormat="1" x14ac:dyDescent="0.4"/>
    <row r="342" s="4" customFormat="1" x14ac:dyDescent="0.4"/>
    <row r="343" s="4" customFormat="1" x14ac:dyDescent="0.4"/>
    <row r="344" s="4" customFormat="1" x14ac:dyDescent="0.4"/>
    <row r="345" s="4" customFormat="1" x14ac:dyDescent="0.4"/>
    <row r="346" s="4" customFormat="1" x14ac:dyDescent="0.4"/>
    <row r="347" s="4" customFormat="1" x14ac:dyDescent="0.4"/>
    <row r="348" s="4" customFormat="1" x14ac:dyDescent="0.4"/>
    <row r="349" s="4" customFormat="1" x14ac:dyDescent="0.4"/>
    <row r="350" s="4" customFormat="1" x14ac:dyDescent="0.4"/>
    <row r="351" s="4" customFormat="1" x14ac:dyDescent="0.4"/>
    <row r="352" s="4" customFormat="1" x14ac:dyDescent="0.4"/>
    <row r="353" s="4" customFormat="1" x14ac:dyDescent="0.4"/>
    <row r="354" s="4" customFormat="1" x14ac:dyDescent="0.4"/>
    <row r="355" s="4" customFormat="1" x14ac:dyDescent="0.4"/>
    <row r="356" s="4" customFormat="1" x14ac:dyDescent="0.4"/>
    <row r="357" s="4" customFormat="1" x14ac:dyDescent="0.4"/>
    <row r="358" s="4" customFormat="1" x14ac:dyDescent="0.4"/>
    <row r="359" s="4" customFormat="1" x14ac:dyDescent="0.4"/>
    <row r="360" s="4" customFormat="1" x14ac:dyDescent="0.4"/>
    <row r="361" s="4" customFormat="1" x14ac:dyDescent="0.4"/>
    <row r="362" s="4" customFormat="1" x14ac:dyDescent="0.4"/>
    <row r="363" s="4" customFormat="1" x14ac:dyDescent="0.4"/>
    <row r="364" s="4" customFormat="1" x14ac:dyDescent="0.4"/>
    <row r="365" s="4" customFormat="1" x14ac:dyDescent="0.4"/>
    <row r="366" s="4" customFormat="1" x14ac:dyDescent="0.4"/>
    <row r="367" s="4" customFormat="1" x14ac:dyDescent="0.4"/>
    <row r="368" s="4" customFormat="1" x14ac:dyDescent="0.4"/>
    <row r="369" s="4" customFormat="1" x14ac:dyDescent="0.4"/>
    <row r="370" s="4" customFormat="1" x14ac:dyDescent="0.4"/>
    <row r="371" s="4" customFormat="1" x14ac:dyDescent="0.4"/>
    <row r="372" s="4" customFormat="1" x14ac:dyDescent="0.4"/>
    <row r="373" s="4" customFormat="1" x14ac:dyDescent="0.4"/>
    <row r="374" s="4" customFormat="1" x14ac:dyDescent="0.4"/>
    <row r="375" s="4" customFormat="1" x14ac:dyDescent="0.4"/>
    <row r="376" s="4" customFormat="1" x14ac:dyDescent="0.4"/>
    <row r="377" s="4" customFormat="1" x14ac:dyDescent="0.4"/>
    <row r="378" s="4" customFormat="1" x14ac:dyDescent="0.4"/>
    <row r="379" s="4" customFormat="1" x14ac:dyDescent="0.4"/>
    <row r="380" s="4" customFormat="1" x14ac:dyDescent="0.4"/>
    <row r="381" s="4" customFormat="1" x14ac:dyDescent="0.4"/>
    <row r="382" s="4" customFormat="1" x14ac:dyDescent="0.4"/>
    <row r="383" s="4" customFormat="1" x14ac:dyDescent="0.4"/>
    <row r="384" s="4" customFormat="1" x14ac:dyDescent="0.4"/>
    <row r="385" s="4" customFormat="1" x14ac:dyDescent="0.4"/>
    <row r="386" s="4" customFormat="1" x14ac:dyDescent="0.4"/>
    <row r="387" s="4" customFormat="1" x14ac:dyDescent="0.4"/>
    <row r="388" s="4" customFormat="1" x14ac:dyDescent="0.4"/>
    <row r="389" s="4" customFormat="1" x14ac:dyDescent="0.4"/>
    <row r="390" s="4" customFormat="1" x14ac:dyDescent="0.4"/>
    <row r="391" s="4" customFormat="1" x14ac:dyDescent="0.4"/>
    <row r="392" s="4" customFormat="1" x14ac:dyDescent="0.4"/>
    <row r="393" s="4" customFormat="1" x14ac:dyDescent="0.4"/>
    <row r="394" s="4" customFormat="1" x14ac:dyDescent="0.4"/>
    <row r="395" s="4" customFormat="1" x14ac:dyDescent="0.4"/>
    <row r="396" s="4" customFormat="1" x14ac:dyDescent="0.4"/>
    <row r="397" s="4" customFormat="1" x14ac:dyDescent="0.4"/>
    <row r="398" s="4" customFormat="1" x14ac:dyDescent="0.4"/>
    <row r="399" s="4" customFormat="1" x14ac:dyDescent="0.4"/>
    <row r="400" s="4" customFormat="1" x14ac:dyDescent="0.4"/>
    <row r="401" s="4" customFormat="1" x14ac:dyDescent="0.4"/>
    <row r="402" s="4" customFormat="1" x14ac:dyDescent="0.4"/>
    <row r="403" s="4" customFormat="1" x14ac:dyDescent="0.4"/>
    <row r="404" s="4" customFormat="1" x14ac:dyDescent="0.4"/>
    <row r="405" s="4" customFormat="1" x14ac:dyDescent="0.4"/>
    <row r="406" s="4" customFormat="1" x14ac:dyDescent="0.4"/>
    <row r="407" s="4" customFormat="1" x14ac:dyDescent="0.4"/>
    <row r="408" s="4" customFormat="1" x14ac:dyDescent="0.4"/>
    <row r="409" s="4" customFormat="1" x14ac:dyDescent="0.4"/>
    <row r="410" s="4" customFormat="1" x14ac:dyDescent="0.4"/>
    <row r="411" s="4" customFormat="1" x14ac:dyDescent="0.4"/>
    <row r="412" s="4" customFormat="1" x14ac:dyDescent="0.4"/>
    <row r="413" s="4" customFormat="1" x14ac:dyDescent="0.4"/>
    <row r="414" s="4" customFormat="1" x14ac:dyDescent="0.4"/>
    <row r="415" s="4" customFormat="1" x14ac:dyDescent="0.4"/>
    <row r="416" s="4" customFormat="1" x14ac:dyDescent="0.4"/>
    <row r="417" s="4" customFormat="1" x14ac:dyDescent="0.4"/>
    <row r="418" s="4" customFormat="1" x14ac:dyDescent="0.4"/>
    <row r="419" s="4" customFormat="1" x14ac:dyDescent="0.4"/>
    <row r="420" s="4" customFormat="1" x14ac:dyDescent="0.4"/>
    <row r="421" s="4" customFormat="1" x14ac:dyDescent="0.4"/>
    <row r="422" s="4" customFormat="1" x14ac:dyDescent="0.4"/>
    <row r="423" s="4" customFormat="1" x14ac:dyDescent="0.4"/>
    <row r="424" s="4" customFormat="1" x14ac:dyDescent="0.4"/>
    <row r="425" s="4" customFormat="1" x14ac:dyDescent="0.4"/>
    <row r="426" s="4" customFormat="1" x14ac:dyDescent="0.4"/>
    <row r="427" s="4" customFormat="1" x14ac:dyDescent="0.4"/>
    <row r="428" s="4" customFormat="1" x14ac:dyDescent="0.4"/>
    <row r="429" s="4" customFormat="1" x14ac:dyDescent="0.4"/>
    <row r="430" s="4" customFormat="1" x14ac:dyDescent="0.4"/>
    <row r="431" s="4" customFormat="1" x14ac:dyDescent="0.4"/>
    <row r="432" s="4" customFormat="1" x14ac:dyDescent="0.4"/>
    <row r="433" s="4" customFormat="1" x14ac:dyDescent="0.4"/>
    <row r="434" s="4" customFormat="1" x14ac:dyDescent="0.4"/>
    <row r="435" s="4" customFormat="1" x14ac:dyDescent="0.4"/>
    <row r="436" s="4" customFormat="1" x14ac:dyDescent="0.4"/>
    <row r="437" s="4" customFormat="1" x14ac:dyDescent="0.4"/>
    <row r="438" s="4" customFormat="1" x14ac:dyDescent="0.4"/>
    <row r="439" s="4" customFormat="1" x14ac:dyDescent="0.4"/>
    <row r="440" s="4" customFormat="1" x14ac:dyDescent="0.4"/>
    <row r="441" s="4" customFormat="1" x14ac:dyDescent="0.4"/>
    <row r="442" s="4" customFormat="1" x14ac:dyDescent="0.4"/>
    <row r="443" s="4" customFormat="1" x14ac:dyDescent="0.4"/>
    <row r="444" s="4" customFormat="1" x14ac:dyDescent="0.4"/>
    <row r="445" s="4" customFormat="1" x14ac:dyDescent="0.4"/>
    <row r="446" s="4" customFormat="1" x14ac:dyDescent="0.4"/>
    <row r="447" s="4" customFormat="1" x14ac:dyDescent="0.4"/>
    <row r="448" s="4" customFormat="1" x14ac:dyDescent="0.4"/>
    <row r="449" s="4" customFormat="1" x14ac:dyDescent="0.4"/>
    <row r="450" s="4" customFormat="1" x14ac:dyDescent="0.4"/>
    <row r="451" s="4" customFormat="1" x14ac:dyDescent="0.4"/>
    <row r="452" s="4" customFormat="1" x14ac:dyDescent="0.4"/>
    <row r="453" s="4" customFormat="1" x14ac:dyDescent="0.4"/>
    <row r="454" s="4" customFormat="1" x14ac:dyDescent="0.4"/>
    <row r="455" s="4" customFormat="1" x14ac:dyDescent="0.4"/>
    <row r="456" s="4" customFormat="1" x14ac:dyDescent="0.4"/>
    <row r="457" s="4" customFormat="1" x14ac:dyDescent="0.4"/>
    <row r="458" s="4" customFormat="1" x14ac:dyDescent="0.4"/>
    <row r="459" s="4" customFormat="1" x14ac:dyDescent="0.4"/>
    <row r="460" s="4" customFormat="1" x14ac:dyDescent="0.4"/>
    <row r="461" s="4" customFormat="1" x14ac:dyDescent="0.4"/>
    <row r="462" s="4" customFormat="1" x14ac:dyDescent="0.4"/>
    <row r="463" s="4" customFormat="1" x14ac:dyDescent="0.4"/>
    <row r="464" s="4" customFormat="1" x14ac:dyDescent="0.4"/>
    <row r="465" s="4" customFormat="1" x14ac:dyDescent="0.4"/>
    <row r="466" s="4" customFormat="1" x14ac:dyDescent="0.4"/>
    <row r="467" s="4" customFormat="1" x14ac:dyDescent="0.4"/>
    <row r="468" s="4" customFormat="1" x14ac:dyDescent="0.4"/>
    <row r="469" s="4" customFormat="1" x14ac:dyDescent="0.4"/>
    <row r="470" s="4" customFormat="1" x14ac:dyDescent="0.4"/>
    <row r="471" s="4" customFormat="1" x14ac:dyDescent="0.4"/>
    <row r="472" s="4" customFormat="1" x14ac:dyDescent="0.4"/>
    <row r="473" s="4" customFormat="1" x14ac:dyDescent="0.4"/>
    <row r="474" s="4" customFormat="1" x14ac:dyDescent="0.4"/>
    <row r="475" s="4" customFormat="1" x14ac:dyDescent="0.4"/>
    <row r="476" s="4" customFormat="1" x14ac:dyDescent="0.4"/>
    <row r="477" s="4" customFormat="1" x14ac:dyDescent="0.4"/>
    <row r="478" s="4" customFormat="1" x14ac:dyDescent="0.4"/>
    <row r="479" s="4" customFormat="1" x14ac:dyDescent="0.4"/>
    <row r="480" s="4" customFormat="1" x14ac:dyDescent="0.4"/>
    <row r="481" s="4" customFormat="1" x14ac:dyDescent="0.4"/>
    <row r="482" s="4" customFormat="1" x14ac:dyDescent="0.4"/>
    <row r="483" s="4" customFormat="1" x14ac:dyDescent="0.4"/>
    <row r="484" s="4" customFormat="1" x14ac:dyDescent="0.4"/>
    <row r="485" s="4" customFormat="1" x14ac:dyDescent="0.4"/>
    <row r="486" s="4" customFormat="1" x14ac:dyDescent="0.4"/>
    <row r="487" s="4" customFormat="1" x14ac:dyDescent="0.4"/>
    <row r="488" s="4" customFormat="1" x14ac:dyDescent="0.4"/>
    <row r="489" s="4" customFormat="1" x14ac:dyDescent="0.4"/>
    <row r="490" s="4" customFormat="1" x14ac:dyDescent="0.4"/>
    <row r="491" s="4" customFormat="1" x14ac:dyDescent="0.4"/>
    <row r="492" s="4" customFormat="1" x14ac:dyDescent="0.4"/>
    <row r="493" s="4" customFormat="1" x14ac:dyDescent="0.4"/>
    <row r="494" s="4" customFormat="1" x14ac:dyDescent="0.4"/>
    <row r="495" s="4" customFormat="1" x14ac:dyDescent="0.4"/>
    <row r="496" s="4" customFormat="1" x14ac:dyDescent="0.4"/>
    <row r="497" s="4" customFormat="1" x14ac:dyDescent="0.4"/>
    <row r="498" s="4" customFormat="1" x14ac:dyDescent="0.4"/>
    <row r="499" s="4" customFormat="1" x14ac:dyDescent="0.4"/>
    <row r="500" s="4" customFormat="1" x14ac:dyDescent="0.4"/>
    <row r="501" s="4" customFormat="1" x14ac:dyDescent="0.4"/>
    <row r="502" s="4" customFormat="1" x14ac:dyDescent="0.4"/>
    <row r="503" s="4" customFormat="1" x14ac:dyDescent="0.4"/>
    <row r="504" s="4" customFormat="1" x14ac:dyDescent="0.4"/>
    <row r="505" s="4" customFormat="1" x14ac:dyDescent="0.4"/>
    <row r="506" s="4" customFormat="1" x14ac:dyDescent="0.4"/>
    <row r="507" s="4" customFormat="1" x14ac:dyDescent="0.4"/>
    <row r="508" s="4" customFormat="1" x14ac:dyDescent="0.4"/>
    <row r="509" s="4" customFormat="1" x14ac:dyDescent="0.4"/>
    <row r="510" s="4" customFormat="1" x14ac:dyDescent="0.4"/>
    <row r="511" s="4" customFormat="1" x14ac:dyDescent="0.4"/>
    <row r="512" s="4" customFormat="1" x14ac:dyDescent="0.4"/>
    <row r="513" s="4" customFormat="1" x14ac:dyDescent="0.4"/>
    <row r="514" s="4" customFormat="1" x14ac:dyDescent="0.4"/>
    <row r="515" s="4" customFormat="1" x14ac:dyDescent="0.4"/>
    <row r="516" s="4" customFormat="1" x14ac:dyDescent="0.4"/>
    <row r="517" s="4" customFormat="1" x14ac:dyDescent="0.4"/>
    <row r="518" s="4" customFormat="1" x14ac:dyDescent="0.4"/>
    <row r="519" s="4" customFormat="1" x14ac:dyDescent="0.4"/>
    <row r="520" s="4" customFormat="1" x14ac:dyDescent="0.4"/>
    <row r="521" s="4" customFormat="1" x14ac:dyDescent="0.4"/>
    <row r="522" s="4" customFormat="1" x14ac:dyDescent="0.4"/>
    <row r="523" s="4" customFormat="1" x14ac:dyDescent="0.4"/>
    <row r="524" s="4" customFormat="1" x14ac:dyDescent="0.4"/>
    <row r="525" s="4" customFormat="1" x14ac:dyDescent="0.4"/>
    <row r="526" s="4" customFormat="1" x14ac:dyDescent="0.4"/>
    <row r="527" s="4" customFormat="1" x14ac:dyDescent="0.4"/>
    <row r="528" s="4" customFormat="1" x14ac:dyDescent="0.4"/>
    <row r="529" s="4" customFormat="1" x14ac:dyDescent="0.4"/>
    <row r="530" s="4" customFormat="1" x14ac:dyDescent="0.4"/>
    <row r="531" s="4" customFormat="1" x14ac:dyDescent="0.4"/>
    <row r="532" s="4" customFormat="1" x14ac:dyDescent="0.4"/>
    <row r="533" s="4" customFormat="1" x14ac:dyDescent="0.4"/>
    <row r="534" s="4" customFormat="1" x14ac:dyDescent="0.4"/>
    <row r="535" s="4" customFormat="1" x14ac:dyDescent="0.4"/>
    <row r="536" s="4" customFormat="1" x14ac:dyDescent="0.4"/>
    <row r="537" s="4" customFormat="1" x14ac:dyDescent="0.4"/>
    <row r="538" s="4" customFormat="1" x14ac:dyDescent="0.4"/>
    <row r="539" s="4" customFormat="1" x14ac:dyDescent="0.4"/>
    <row r="540" s="4" customFormat="1" x14ac:dyDescent="0.4"/>
    <row r="541" s="4" customFormat="1" x14ac:dyDescent="0.4"/>
    <row r="542" s="4" customFormat="1" x14ac:dyDescent="0.4"/>
    <row r="543" s="4" customFormat="1" x14ac:dyDescent="0.4"/>
    <row r="544" s="4" customFormat="1" x14ac:dyDescent="0.4"/>
    <row r="545" s="4" customFormat="1" x14ac:dyDescent="0.4"/>
    <row r="546" s="4" customFormat="1" x14ac:dyDescent="0.4"/>
    <row r="547" s="4" customFormat="1" x14ac:dyDescent="0.4"/>
    <row r="548" s="4" customFormat="1" x14ac:dyDescent="0.4"/>
    <row r="549" s="4" customFormat="1" x14ac:dyDescent="0.4"/>
    <row r="550" s="4" customFormat="1" x14ac:dyDescent="0.4"/>
    <row r="551" s="4" customFormat="1" x14ac:dyDescent="0.4"/>
    <row r="552" s="4" customFormat="1" x14ac:dyDescent="0.4"/>
    <row r="553" s="4" customFormat="1" x14ac:dyDescent="0.4"/>
    <row r="554" s="4" customFormat="1" x14ac:dyDescent="0.4"/>
    <row r="555" s="4" customFormat="1" x14ac:dyDescent="0.4"/>
    <row r="556" s="4" customFormat="1" x14ac:dyDescent="0.4"/>
    <row r="557" s="4" customFormat="1" x14ac:dyDescent="0.4"/>
    <row r="558" s="4" customFormat="1" x14ac:dyDescent="0.4"/>
    <row r="559" s="4" customFormat="1" x14ac:dyDescent="0.4"/>
    <row r="560" s="4" customFormat="1" x14ac:dyDescent="0.4"/>
    <row r="561" s="4" customFormat="1" x14ac:dyDescent="0.4"/>
    <row r="562" s="4" customFormat="1" x14ac:dyDescent="0.4"/>
    <row r="563" s="4" customFormat="1" x14ac:dyDescent="0.4"/>
    <row r="564" s="4" customFormat="1" x14ac:dyDescent="0.4"/>
    <row r="565" s="4" customFormat="1" x14ac:dyDescent="0.4"/>
    <row r="566" s="4" customFormat="1" x14ac:dyDescent="0.4"/>
    <row r="567" s="4" customFormat="1" x14ac:dyDescent="0.4"/>
    <row r="568" s="4" customFormat="1" x14ac:dyDescent="0.4"/>
    <row r="569" s="4" customFormat="1" x14ac:dyDescent="0.4"/>
    <row r="570" s="4" customFormat="1" x14ac:dyDescent="0.4"/>
    <row r="571" s="4" customFormat="1" x14ac:dyDescent="0.4"/>
    <row r="572" s="4" customFormat="1" x14ac:dyDescent="0.4"/>
    <row r="573" s="4" customFormat="1" x14ac:dyDescent="0.4"/>
    <row r="574" s="4" customFormat="1" x14ac:dyDescent="0.4"/>
    <row r="575" s="4" customFormat="1" x14ac:dyDescent="0.4"/>
    <row r="576" s="4" customFormat="1" x14ac:dyDescent="0.4"/>
    <row r="577" s="4" customFormat="1" x14ac:dyDescent="0.4"/>
    <row r="578" s="4" customFormat="1" x14ac:dyDescent="0.4"/>
    <row r="579" s="4" customFormat="1" x14ac:dyDescent="0.4"/>
    <row r="580" s="4" customFormat="1" x14ac:dyDescent="0.4"/>
    <row r="581" s="4" customFormat="1" x14ac:dyDescent="0.4"/>
    <row r="582" s="4" customFormat="1" x14ac:dyDescent="0.4"/>
    <row r="583" s="4" customFormat="1" x14ac:dyDescent="0.4"/>
    <row r="584" s="4" customFormat="1" x14ac:dyDescent="0.4"/>
    <row r="585" s="4" customFormat="1" x14ac:dyDescent="0.4"/>
    <row r="586" s="4" customFormat="1" x14ac:dyDescent="0.4"/>
    <row r="587" s="4" customFormat="1" x14ac:dyDescent="0.4"/>
    <row r="588" s="4" customFormat="1" x14ac:dyDescent="0.4"/>
    <row r="589" s="4" customFormat="1" x14ac:dyDescent="0.4"/>
    <row r="590" s="4" customFormat="1" x14ac:dyDescent="0.4"/>
    <row r="591" s="4" customFormat="1" x14ac:dyDescent="0.4"/>
    <row r="592" s="4" customFormat="1" x14ac:dyDescent="0.4"/>
    <row r="593" s="4" customFormat="1" x14ac:dyDescent="0.4"/>
    <row r="594" s="4" customFormat="1" x14ac:dyDescent="0.4"/>
    <row r="595" s="4" customFormat="1" x14ac:dyDescent="0.4"/>
    <row r="596" s="4" customFormat="1" x14ac:dyDescent="0.4"/>
    <row r="597" s="4" customFormat="1" x14ac:dyDescent="0.4"/>
    <row r="598" s="4" customFormat="1" x14ac:dyDescent="0.4"/>
    <row r="599" s="4" customFormat="1" x14ac:dyDescent="0.4"/>
    <row r="600" s="4" customFormat="1" x14ac:dyDescent="0.4"/>
    <row r="601" s="4" customFormat="1" x14ac:dyDescent="0.4"/>
    <row r="602" s="4" customFormat="1" x14ac:dyDescent="0.4"/>
    <row r="603" s="4" customFormat="1" x14ac:dyDescent="0.4"/>
    <row r="604" s="4" customFormat="1" x14ac:dyDescent="0.4"/>
    <row r="605" s="4" customFormat="1" x14ac:dyDescent="0.4"/>
    <row r="606" s="4" customFormat="1" x14ac:dyDescent="0.4"/>
    <row r="607" s="4" customFormat="1" x14ac:dyDescent="0.4"/>
    <row r="608" s="4" customFormat="1" x14ac:dyDescent="0.4"/>
    <row r="609" s="4" customFormat="1" x14ac:dyDescent="0.4"/>
    <row r="610" s="4" customFormat="1" x14ac:dyDescent="0.4"/>
    <row r="611" s="4" customFormat="1" x14ac:dyDescent="0.4"/>
    <row r="612" s="4" customFormat="1" x14ac:dyDescent="0.4"/>
    <row r="613" s="4" customFormat="1" x14ac:dyDescent="0.4"/>
    <row r="614" s="4" customFormat="1" x14ac:dyDescent="0.4"/>
    <row r="615" s="4" customFormat="1" x14ac:dyDescent="0.4"/>
    <row r="616" s="4" customFormat="1" x14ac:dyDescent="0.4"/>
    <row r="617" s="4" customFormat="1" x14ac:dyDescent="0.4"/>
    <row r="618" s="4" customFormat="1" x14ac:dyDescent="0.4"/>
    <row r="619" s="4" customFormat="1" x14ac:dyDescent="0.4"/>
    <row r="620" s="4" customFormat="1" x14ac:dyDescent="0.4"/>
    <row r="621" s="4" customFormat="1" x14ac:dyDescent="0.4"/>
    <row r="622" s="4" customFormat="1" x14ac:dyDescent="0.4"/>
    <row r="623" s="4" customFormat="1" x14ac:dyDescent="0.4"/>
    <row r="624" s="4" customFormat="1" x14ac:dyDescent="0.4"/>
    <row r="625" s="4" customFormat="1" x14ac:dyDescent="0.4"/>
    <row r="626" s="4" customFormat="1" x14ac:dyDescent="0.4"/>
    <row r="627" s="4" customFormat="1" x14ac:dyDescent="0.4"/>
    <row r="628" s="4" customFormat="1" x14ac:dyDescent="0.4"/>
    <row r="629" s="4" customFormat="1" x14ac:dyDescent="0.4"/>
    <row r="630" s="4" customFormat="1" x14ac:dyDescent="0.4"/>
    <row r="631" s="4" customFormat="1" x14ac:dyDescent="0.4"/>
    <row r="632" s="4" customFormat="1" x14ac:dyDescent="0.4"/>
    <row r="633" s="4" customFormat="1" x14ac:dyDescent="0.4"/>
    <row r="634" s="4" customFormat="1" x14ac:dyDescent="0.4"/>
    <row r="635" s="4" customFormat="1" x14ac:dyDescent="0.4"/>
    <row r="636" s="4" customFormat="1" x14ac:dyDescent="0.4"/>
    <row r="637" s="4" customFormat="1" x14ac:dyDescent="0.4"/>
    <row r="638" s="4" customFormat="1" x14ac:dyDescent="0.4"/>
    <row r="639" s="4" customFormat="1" x14ac:dyDescent="0.4"/>
    <row r="640" s="4" customFormat="1" x14ac:dyDescent="0.4"/>
    <row r="641" s="4" customFormat="1" x14ac:dyDescent="0.4"/>
    <row r="642" s="4" customFormat="1" x14ac:dyDescent="0.4"/>
    <row r="643" s="4" customFormat="1" x14ac:dyDescent="0.4"/>
    <row r="644" s="4" customFormat="1" x14ac:dyDescent="0.4"/>
    <row r="645" s="4" customFormat="1" x14ac:dyDescent="0.4"/>
    <row r="646" s="4" customFormat="1" x14ac:dyDescent="0.4"/>
    <row r="647" s="4" customFormat="1" x14ac:dyDescent="0.4"/>
    <row r="648" s="4" customFormat="1" x14ac:dyDescent="0.4"/>
    <row r="649" s="4" customFormat="1" x14ac:dyDescent="0.4"/>
    <row r="650" s="4" customFormat="1" x14ac:dyDescent="0.4"/>
    <row r="651" s="4" customFormat="1" x14ac:dyDescent="0.4"/>
    <row r="652" s="4" customFormat="1" x14ac:dyDescent="0.4"/>
    <row r="653" s="4" customFormat="1" x14ac:dyDescent="0.4"/>
    <row r="654" s="4" customFormat="1" x14ac:dyDescent="0.4"/>
    <row r="655" s="4" customFormat="1" x14ac:dyDescent="0.4"/>
    <row r="656" s="4" customFormat="1" x14ac:dyDescent="0.4"/>
    <row r="657" s="4" customFormat="1" x14ac:dyDescent="0.4"/>
    <row r="658" s="4" customFormat="1" x14ac:dyDescent="0.4"/>
    <row r="659" s="4" customFormat="1" x14ac:dyDescent="0.4"/>
    <row r="660" s="4" customFormat="1" x14ac:dyDescent="0.4"/>
    <row r="661" s="4" customFormat="1" x14ac:dyDescent="0.4"/>
    <row r="662" s="4" customFormat="1" x14ac:dyDescent="0.4"/>
    <row r="663" s="4" customFormat="1" x14ac:dyDescent="0.4"/>
    <row r="664" s="4" customFormat="1" x14ac:dyDescent="0.4"/>
    <row r="665" s="4" customFormat="1" x14ac:dyDescent="0.4"/>
    <row r="666" s="4" customFormat="1" x14ac:dyDescent="0.4"/>
    <row r="667" s="4" customFormat="1" x14ac:dyDescent="0.4"/>
    <row r="668" s="4" customFormat="1" x14ac:dyDescent="0.4"/>
    <row r="669" s="4" customFormat="1" x14ac:dyDescent="0.4"/>
    <row r="670" s="4" customFormat="1" x14ac:dyDescent="0.4"/>
    <row r="671" s="4" customFormat="1" x14ac:dyDescent="0.4"/>
    <row r="672" s="4" customFormat="1" x14ac:dyDescent="0.4"/>
    <row r="673" s="4" customFormat="1" x14ac:dyDescent="0.4"/>
    <row r="674" s="4" customFormat="1" x14ac:dyDescent="0.4"/>
    <row r="675" s="4" customFormat="1" x14ac:dyDescent="0.4"/>
    <row r="676" s="4" customFormat="1" x14ac:dyDescent="0.4"/>
    <row r="677" s="4" customFormat="1" x14ac:dyDescent="0.4"/>
    <row r="678" s="4" customFormat="1" x14ac:dyDescent="0.4"/>
    <row r="679" s="4" customFormat="1" x14ac:dyDescent="0.4"/>
    <row r="680" s="4" customFormat="1" x14ac:dyDescent="0.4"/>
    <row r="681" s="4" customFormat="1" x14ac:dyDescent="0.4"/>
    <row r="682" s="4" customFormat="1" x14ac:dyDescent="0.4"/>
    <row r="683" s="4" customFormat="1" x14ac:dyDescent="0.4"/>
    <row r="684" s="4" customFormat="1" x14ac:dyDescent="0.4"/>
    <row r="685" s="4" customFormat="1" x14ac:dyDescent="0.4"/>
    <row r="686" s="4" customFormat="1" x14ac:dyDescent="0.4"/>
    <row r="687" s="4" customFormat="1" x14ac:dyDescent="0.4"/>
    <row r="688" s="4" customFormat="1" x14ac:dyDescent="0.4"/>
    <row r="689" s="4" customFormat="1" x14ac:dyDescent="0.4"/>
    <row r="690" s="4" customFormat="1" x14ac:dyDescent="0.4"/>
    <row r="691" s="4" customFormat="1" x14ac:dyDescent="0.4"/>
    <row r="692" s="4" customFormat="1" x14ac:dyDescent="0.4"/>
    <row r="693" s="4" customFormat="1" x14ac:dyDescent="0.4"/>
    <row r="694" s="4" customFormat="1" x14ac:dyDescent="0.4"/>
    <row r="695" s="4" customFormat="1" x14ac:dyDescent="0.4"/>
    <row r="696" s="4" customFormat="1" x14ac:dyDescent="0.4"/>
    <row r="697" s="4" customFormat="1" x14ac:dyDescent="0.4"/>
    <row r="698" s="4" customFormat="1" x14ac:dyDescent="0.4"/>
    <row r="699" s="4" customFormat="1" x14ac:dyDescent="0.4"/>
    <row r="700" s="4" customFormat="1" x14ac:dyDescent="0.4"/>
    <row r="701" s="4" customFormat="1" x14ac:dyDescent="0.4"/>
    <row r="702" s="4" customFormat="1" x14ac:dyDescent="0.4"/>
    <row r="703" s="4" customFormat="1" x14ac:dyDescent="0.4"/>
    <row r="704" s="4" customFormat="1" x14ac:dyDescent="0.4"/>
    <row r="705" s="4" customFormat="1" x14ac:dyDescent="0.4"/>
    <row r="706" s="4" customFormat="1" x14ac:dyDescent="0.4"/>
    <row r="707" s="4" customFormat="1" x14ac:dyDescent="0.4"/>
    <row r="708" s="4" customFormat="1" x14ac:dyDescent="0.4"/>
    <row r="709" s="4" customFormat="1" x14ac:dyDescent="0.4"/>
    <row r="710" s="4" customFormat="1" x14ac:dyDescent="0.4"/>
    <row r="711" s="4" customFormat="1" x14ac:dyDescent="0.4"/>
    <row r="712" s="4" customFormat="1" x14ac:dyDescent="0.4"/>
    <row r="713" s="4" customFormat="1" x14ac:dyDescent="0.4"/>
    <row r="714" s="4" customFormat="1" x14ac:dyDescent="0.4"/>
    <row r="715" s="4" customFormat="1" x14ac:dyDescent="0.4"/>
    <row r="716" s="4" customFormat="1" x14ac:dyDescent="0.4"/>
    <row r="717" s="4" customFormat="1" x14ac:dyDescent="0.4"/>
    <row r="718" s="4" customFormat="1" x14ac:dyDescent="0.4"/>
    <row r="719" s="4" customFormat="1" x14ac:dyDescent="0.4"/>
    <row r="720" s="4" customFormat="1" x14ac:dyDescent="0.4"/>
    <row r="721" s="4" customFormat="1" x14ac:dyDescent="0.4"/>
    <row r="722" s="4" customFormat="1" x14ac:dyDescent="0.4"/>
    <row r="723" s="4" customFormat="1" x14ac:dyDescent="0.4"/>
    <row r="724" s="4" customFormat="1" x14ac:dyDescent="0.4"/>
    <row r="725" s="4" customFormat="1" x14ac:dyDescent="0.4"/>
    <row r="726" s="4" customFormat="1" x14ac:dyDescent="0.4"/>
    <row r="727" s="4" customFormat="1" x14ac:dyDescent="0.4"/>
    <row r="728" s="4" customFormat="1" x14ac:dyDescent="0.4"/>
    <row r="729" s="4" customFormat="1" x14ac:dyDescent="0.4"/>
    <row r="730" s="4" customFormat="1" x14ac:dyDescent="0.4"/>
    <row r="731" s="4" customFormat="1" x14ac:dyDescent="0.4"/>
    <row r="732" s="4" customFormat="1" x14ac:dyDescent="0.4"/>
    <row r="733" s="4" customFormat="1" x14ac:dyDescent="0.4"/>
    <row r="734" s="4" customFormat="1" x14ac:dyDescent="0.4"/>
    <row r="735" s="4" customFormat="1" x14ac:dyDescent="0.4"/>
    <row r="736" s="4" customFormat="1" x14ac:dyDescent="0.4"/>
    <row r="737" s="4" customFormat="1" x14ac:dyDescent="0.4"/>
    <row r="738" s="4" customFormat="1" x14ac:dyDescent="0.4"/>
    <row r="739" s="4" customFormat="1" x14ac:dyDescent="0.4"/>
    <row r="740" s="4" customFormat="1" x14ac:dyDescent="0.4"/>
    <row r="741" s="4" customFormat="1" x14ac:dyDescent="0.4"/>
    <row r="742" s="4" customFormat="1" x14ac:dyDescent="0.4"/>
    <row r="743" s="4" customFormat="1" x14ac:dyDescent="0.4"/>
    <row r="744" s="4" customFormat="1" x14ac:dyDescent="0.4"/>
    <row r="745" s="4" customFormat="1" x14ac:dyDescent="0.4"/>
    <row r="746" s="4" customFormat="1" x14ac:dyDescent="0.4"/>
    <row r="747" s="4" customFormat="1" x14ac:dyDescent="0.4"/>
    <row r="748" s="4" customFormat="1" x14ac:dyDescent="0.4"/>
    <row r="749" s="4" customFormat="1" x14ac:dyDescent="0.4"/>
    <row r="750" s="4" customFormat="1" x14ac:dyDescent="0.4"/>
    <row r="751" s="4" customFormat="1" x14ac:dyDescent="0.4"/>
    <row r="752" s="4" customFormat="1" x14ac:dyDescent="0.4"/>
    <row r="753" s="4" customFormat="1" x14ac:dyDescent="0.4"/>
    <row r="754" s="4" customFormat="1" x14ac:dyDescent="0.4"/>
    <row r="755" s="4" customFormat="1" x14ac:dyDescent="0.4"/>
    <row r="756" s="4" customFormat="1" x14ac:dyDescent="0.4"/>
    <row r="757" s="4" customFormat="1" x14ac:dyDescent="0.4"/>
    <row r="758" s="4" customFormat="1" x14ac:dyDescent="0.4"/>
    <row r="759" s="4" customFormat="1" x14ac:dyDescent="0.4"/>
    <row r="760" s="4" customFormat="1" x14ac:dyDescent="0.4"/>
    <row r="761" s="4" customFormat="1" x14ac:dyDescent="0.4"/>
    <row r="762" s="4" customFormat="1" x14ac:dyDescent="0.4"/>
    <row r="763" s="4" customFormat="1" x14ac:dyDescent="0.4"/>
    <row r="764" s="4" customFormat="1" x14ac:dyDescent="0.4"/>
    <row r="765" s="4" customFormat="1" x14ac:dyDescent="0.4"/>
    <row r="766" s="4" customFormat="1" x14ac:dyDescent="0.4"/>
    <row r="767" s="4" customFormat="1" x14ac:dyDescent="0.4"/>
    <row r="768" s="4" customFormat="1" x14ac:dyDescent="0.4"/>
    <row r="769" s="4" customFormat="1" x14ac:dyDescent="0.4"/>
    <row r="770" s="4" customFormat="1" x14ac:dyDescent="0.4"/>
    <row r="771" s="4" customFormat="1" x14ac:dyDescent="0.4"/>
    <row r="772" s="4" customFormat="1" x14ac:dyDescent="0.4"/>
    <row r="773" s="4" customFormat="1" x14ac:dyDescent="0.4"/>
    <row r="774" s="4" customFormat="1" x14ac:dyDescent="0.4"/>
    <row r="775" s="4" customFormat="1" x14ac:dyDescent="0.4"/>
    <row r="776" s="4" customFormat="1" x14ac:dyDescent="0.4"/>
    <row r="777" s="4" customFormat="1" x14ac:dyDescent="0.4"/>
    <row r="778" s="4" customFormat="1" x14ac:dyDescent="0.4"/>
    <row r="779" s="4" customFormat="1" x14ac:dyDescent="0.4"/>
    <row r="780" s="4" customFormat="1" x14ac:dyDescent="0.4"/>
    <row r="781" s="4" customFormat="1" x14ac:dyDescent="0.4"/>
    <row r="782" s="4" customFormat="1" x14ac:dyDescent="0.4"/>
    <row r="783" s="4" customFormat="1" x14ac:dyDescent="0.4"/>
    <row r="784" s="4" customFormat="1" x14ac:dyDescent="0.4"/>
    <row r="785" s="4" customFormat="1" x14ac:dyDescent="0.4"/>
    <row r="786" s="4" customFormat="1" x14ac:dyDescent="0.4"/>
    <row r="787" s="4" customFormat="1" x14ac:dyDescent="0.4"/>
    <row r="788" s="4" customFormat="1" x14ac:dyDescent="0.4"/>
    <row r="789" s="4" customFormat="1" x14ac:dyDescent="0.4"/>
    <row r="790" s="4" customFormat="1" x14ac:dyDescent="0.4"/>
    <row r="791" s="4" customFormat="1" x14ac:dyDescent="0.4"/>
    <row r="792" s="4" customFormat="1" x14ac:dyDescent="0.4"/>
    <row r="793" s="4" customFormat="1" x14ac:dyDescent="0.4"/>
    <row r="794" s="4" customFormat="1" x14ac:dyDescent="0.4"/>
    <row r="795" s="4" customFormat="1" x14ac:dyDescent="0.4"/>
    <row r="796" s="4" customFormat="1" x14ac:dyDescent="0.4"/>
    <row r="797" s="4" customFormat="1" x14ac:dyDescent="0.4"/>
    <row r="798" s="4" customFormat="1" x14ac:dyDescent="0.4"/>
    <row r="799" s="4" customFormat="1" x14ac:dyDescent="0.4"/>
    <row r="800" s="4" customFormat="1" x14ac:dyDescent="0.4"/>
    <row r="801" s="4" customFormat="1" x14ac:dyDescent="0.4"/>
    <row r="802" s="4" customFormat="1" x14ac:dyDescent="0.4"/>
    <row r="803" s="4" customFormat="1" x14ac:dyDescent="0.4"/>
    <row r="804" s="4" customFormat="1" x14ac:dyDescent="0.4"/>
    <row r="805" s="4" customFormat="1" x14ac:dyDescent="0.4"/>
    <row r="806" s="4" customFormat="1" x14ac:dyDescent="0.4"/>
    <row r="807" s="4" customFormat="1" x14ac:dyDescent="0.4"/>
    <row r="808" s="4" customFormat="1" x14ac:dyDescent="0.4"/>
    <row r="809" s="4" customFormat="1" x14ac:dyDescent="0.4"/>
    <row r="810" s="4" customFormat="1" x14ac:dyDescent="0.4"/>
    <row r="811" s="4" customFormat="1" x14ac:dyDescent="0.4"/>
    <row r="812" s="4" customFormat="1" x14ac:dyDescent="0.4"/>
    <row r="813" s="4" customFormat="1" x14ac:dyDescent="0.4"/>
    <row r="814" s="4" customFormat="1" x14ac:dyDescent="0.4"/>
    <row r="815" s="4" customFormat="1" x14ac:dyDescent="0.4"/>
    <row r="816" s="4" customFormat="1" x14ac:dyDescent="0.4"/>
    <row r="817" s="4" customFormat="1" x14ac:dyDescent="0.4"/>
    <row r="818" s="4" customFormat="1" x14ac:dyDescent="0.4"/>
    <row r="819" s="4" customFormat="1" x14ac:dyDescent="0.4"/>
    <row r="820" s="4" customFormat="1" x14ac:dyDescent="0.4"/>
    <row r="821" s="4" customFormat="1" x14ac:dyDescent="0.4"/>
    <row r="822" s="4" customFormat="1" x14ac:dyDescent="0.4"/>
    <row r="823" s="4" customFormat="1" x14ac:dyDescent="0.4"/>
    <row r="824" s="4" customFormat="1" x14ac:dyDescent="0.4"/>
    <row r="825" s="4" customFormat="1" x14ac:dyDescent="0.4"/>
    <row r="826" s="4" customFormat="1" x14ac:dyDescent="0.4"/>
    <row r="827" s="4" customFormat="1" x14ac:dyDescent="0.4"/>
    <row r="828" s="4" customFormat="1" x14ac:dyDescent="0.4"/>
    <row r="829" s="4" customFormat="1" x14ac:dyDescent="0.4"/>
    <row r="830" s="4" customFormat="1" x14ac:dyDescent="0.4"/>
    <row r="831" s="4" customFormat="1" x14ac:dyDescent="0.4"/>
    <row r="832" s="4" customFormat="1" x14ac:dyDescent="0.4"/>
    <row r="833" s="4" customFormat="1" x14ac:dyDescent="0.4"/>
    <row r="834" s="4" customFormat="1" x14ac:dyDescent="0.4"/>
    <row r="835" s="4" customFormat="1" x14ac:dyDescent="0.4"/>
    <row r="836" s="4" customFormat="1" x14ac:dyDescent="0.4"/>
    <row r="837" s="4" customFormat="1" x14ac:dyDescent="0.4"/>
    <row r="838" s="4" customFormat="1" x14ac:dyDescent="0.4"/>
    <row r="839" s="4" customFormat="1" x14ac:dyDescent="0.4"/>
    <row r="840" s="4" customFormat="1" x14ac:dyDescent="0.4"/>
    <row r="841" s="4" customFormat="1" x14ac:dyDescent="0.4"/>
    <row r="842" s="4" customFormat="1" x14ac:dyDescent="0.4"/>
    <row r="843" s="4" customFormat="1" x14ac:dyDescent="0.4"/>
    <row r="844" s="4" customFormat="1" x14ac:dyDescent="0.4"/>
    <row r="845" s="4" customFormat="1" x14ac:dyDescent="0.4"/>
    <row r="846" s="4" customFormat="1" x14ac:dyDescent="0.4"/>
    <row r="847" s="4" customFormat="1" x14ac:dyDescent="0.4"/>
    <row r="848" s="4" customFormat="1" x14ac:dyDescent="0.4"/>
    <row r="849" s="4" customFormat="1" x14ac:dyDescent="0.4"/>
    <row r="850" s="4" customFormat="1" x14ac:dyDescent="0.4"/>
    <row r="851" s="4" customFormat="1" x14ac:dyDescent="0.4"/>
    <row r="852" s="4" customFormat="1" x14ac:dyDescent="0.4"/>
    <row r="853" s="4" customFormat="1" x14ac:dyDescent="0.4"/>
    <row r="854" s="4" customFormat="1" x14ac:dyDescent="0.4"/>
    <row r="855" s="4" customFormat="1" x14ac:dyDescent="0.4"/>
    <row r="856" s="4" customFormat="1" x14ac:dyDescent="0.4"/>
    <row r="857" s="4" customFormat="1" x14ac:dyDescent="0.4"/>
    <row r="858" s="4" customFormat="1" x14ac:dyDescent="0.4"/>
    <row r="859" s="4" customFormat="1" x14ac:dyDescent="0.4"/>
    <row r="860" s="4" customFormat="1" x14ac:dyDescent="0.4"/>
    <row r="861" s="4" customFormat="1" x14ac:dyDescent="0.4"/>
    <row r="862" s="4" customFormat="1" x14ac:dyDescent="0.4"/>
    <row r="863" s="4" customFormat="1" x14ac:dyDescent="0.4"/>
    <row r="864" s="4" customFormat="1" x14ac:dyDescent="0.4"/>
    <row r="865" s="4" customFormat="1" x14ac:dyDescent="0.4"/>
    <row r="866" s="4" customFormat="1" x14ac:dyDescent="0.4"/>
    <row r="867" s="4" customFormat="1" x14ac:dyDescent="0.4"/>
    <row r="868" s="4" customFormat="1" x14ac:dyDescent="0.4"/>
    <row r="869" s="4" customFormat="1" x14ac:dyDescent="0.4"/>
    <row r="870" s="4" customFormat="1" x14ac:dyDescent="0.4"/>
    <row r="871" s="4" customFormat="1" x14ac:dyDescent="0.4"/>
    <row r="872" s="4" customFormat="1" x14ac:dyDescent="0.4"/>
    <row r="873" s="4" customFormat="1" x14ac:dyDescent="0.4"/>
    <row r="874" s="4" customFormat="1" x14ac:dyDescent="0.4"/>
    <row r="875" s="4" customFormat="1" x14ac:dyDescent="0.4"/>
    <row r="876" s="4" customFormat="1" x14ac:dyDescent="0.4"/>
    <row r="877" s="4" customFormat="1" x14ac:dyDescent="0.4"/>
    <row r="878" s="4" customFormat="1" x14ac:dyDescent="0.4"/>
    <row r="879" s="4" customFormat="1" x14ac:dyDescent="0.4"/>
    <row r="880" s="4" customFormat="1" x14ac:dyDescent="0.4"/>
    <row r="881" s="4" customFormat="1" x14ac:dyDescent="0.4"/>
    <row r="882" s="4" customFormat="1" x14ac:dyDescent="0.4"/>
    <row r="883" s="4" customFormat="1" x14ac:dyDescent="0.4"/>
    <row r="884" s="4" customFormat="1" x14ac:dyDescent="0.4"/>
    <row r="885" s="4" customFormat="1" x14ac:dyDescent="0.4"/>
    <row r="886" s="4" customFormat="1" x14ac:dyDescent="0.4"/>
    <row r="887" s="4" customFormat="1" x14ac:dyDescent="0.4"/>
    <row r="888" s="4" customFormat="1" x14ac:dyDescent="0.4"/>
    <row r="889" s="4" customFormat="1" x14ac:dyDescent="0.4"/>
    <row r="890" s="4" customFormat="1" x14ac:dyDescent="0.4"/>
    <row r="891" s="4" customFormat="1" x14ac:dyDescent="0.4"/>
    <row r="892" s="4" customFormat="1" x14ac:dyDescent="0.4"/>
    <row r="893" s="4" customFormat="1" x14ac:dyDescent="0.4"/>
    <row r="894" s="4" customFormat="1" x14ac:dyDescent="0.4"/>
    <row r="895" s="4" customFormat="1" x14ac:dyDescent="0.4"/>
    <row r="896" s="4" customFormat="1" x14ac:dyDescent="0.4"/>
    <row r="897" s="4" customFormat="1" x14ac:dyDescent="0.4"/>
    <row r="898" s="4" customFormat="1" x14ac:dyDescent="0.4"/>
    <row r="899" s="4" customFormat="1" x14ac:dyDescent="0.4"/>
    <row r="900" s="4" customFormat="1" x14ac:dyDescent="0.4"/>
    <row r="901" s="4" customFormat="1" x14ac:dyDescent="0.4"/>
    <row r="902" s="4" customFormat="1" x14ac:dyDescent="0.4"/>
    <row r="903" s="4" customFormat="1" x14ac:dyDescent="0.4"/>
    <row r="904" s="4" customFormat="1" x14ac:dyDescent="0.4"/>
    <row r="905" s="4" customFormat="1" x14ac:dyDescent="0.4"/>
    <row r="906" s="4" customFormat="1" x14ac:dyDescent="0.4"/>
    <row r="907" s="4" customFormat="1" x14ac:dyDescent="0.4"/>
    <row r="908" s="4" customFormat="1" x14ac:dyDescent="0.4"/>
    <row r="909" s="4" customFormat="1" x14ac:dyDescent="0.4"/>
    <row r="910" s="4" customFormat="1" x14ac:dyDescent="0.4"/>
    <row r="911" s="4" customFormat="1" x14ac:dyDescent="0.4"/>
    <row r="912" s="4" customFormat="1" x14ac:dyDescent="0.4"/>
    <row r="913" s="4" customFormat="1" x14ac:dyDescent="0.4"/>
    <row r="914" s="4" customFormat="1" x14ac:dyDescent="0.4"/>
    <row r="915" s="4" customFormat="1" x14ac:dyDescent="0.4"/>
    <row r="916" s="4" customFormat="1" x14ac:dyDescent="0.4"/>
    <row r="917" s="4" customFormat="1" x14ac:dyDescent="0.4"/>
    <row r="918" s="4" customFormat="1" x14ac:dyDescent="0.4"/>
    <row r="919" s="4" customFormat="1" x14ac:dyDescent="0.4"/>
    <row r="920" s="4" customFormat="1" x14ac:dyDescent="0.4"/>
    <row r="921" s="4" customFormat="1" x14ac:dyDescent="0.4"/>
    <row r="922" s="4" customFormat="1" x14ac:dyDescent="0.4"/>
    <row r="923" s="4" customFormat="1" x14ac:dyDescent="0.4"/>
    <row r="924" s="4" customFormat="1" x14ac:dyDescent="0.4"/>
    <row r="925" s="4" customFormat="1" x14ac:dyDescent="0.4"/>
    <row r="926" s="4" customFormat="1" x14ac:dyDescent="0.4"/>
    <row r="927" s="4" customFormat="1" x14ac:dyDescent="0.4"/>
    <row r="928" s="4" customFormat="1" x14ac:dyDescent="0.4"/>
    <row r="929" s="4" customFormat="1" x14ac:dyDescent="0.4"/>
    <row r="930" s="4" customFormat="1" x14ac:dyDescent="0.4"/>
    <row r="931" s="4" customFormat="1" x14ac:dyDescent="0.4"/>
    <row r="932" s="4" customFormat="1" x14ac:dyDescent="0.4"/>
    <row r="933" s="4" customFormat="1" x14ac:dyDescent="0.4"/>
    <row r="934" s="4" customFormat="1" x14ac:dyDescent="0.4"/>
    <row r="935" s="4" customFormat="1" x14ac:dyDescent="0.4"/>
    <row r="936" s="4" customFormat="1" x14ac:dyDescent="0.4"/>
    <row r="937" s="4" customFormat="1" x14ac:dyDescent="0.4"/>
    <row r="938" s="4" customFormat="1" x14ac:dyDescent="0.4"/>
    <row r="939" s="4" customFormat="1" x14ac:dyDescent="0.4"/>
    <row r="940" s="4" customFormat="1" x14ac:dyDescent="0.4"/>
    <row r="941" s="4" customFormat="1" x14ac:dyDescent="0.4"/>
    <row r="942" s="4" customFormat="1" x14ac:dyDescent="0.4"/>
    <row r="943" s="4" customFormat="1" x14ac:dyDescent="0.4"/>
    <row r="944" s="4" customFormat="1" x14ac:dyDescent="0.4"/>
    <row r="945" s="4" customFormat="1" x14ac:dyDescent="0.4"/>
    <row r="946" s="4" customFormat="1" x14ac:dyDescent="0.4"/>
    <row r="947" s="4" customFormat="1" x14ac:dyDescent="0.4"/>
    <row r="948" s="4" customFormat="1" x14ac:dyDescent="0.4"/>
    <row r="949" s="4" customFormat="1" x14ac:dyDescent="0.4"/>
    <row r="950" s="4" customFormat="1" x14ac:dyDescent="0.4"/>
    <row r="951" s="4" customFormat="1" x14ac:dyDescent="0.4"/>
    <row r="952" s="4" customFormat="1" x14ac:dyDescent="0.4"/>
    <row r="953" s="4" customFormat="1" x14ac:dyDescent="0.4"/>
    <row r="954" s="4" customFormat="1" x14ac:dyDescent="0.4"/>
    <row r="955" s="4" customFormat="1" x14ac:dyDescent="0.4"/>
    <row r="956" s="4" customFormat="1" x14ac:dyDescent="0.4"/>
    <row r="957" s="4" customFormat="1" x14ac:dyDescent="0.4"/>
    <row r="958" s="4" customFormat="1" x14ac:dyDescent="0.4"/>
    <row r="959" s="4" customFormat="1" x14ac:dyDescent="0.4"/>
    <row r="960" s="4" customFormat="1" x14ac:dyDescent="0.4"/>
    <row r="961" s="4" customFormat="1" x14ac:dyDescent="0.4"/>
    <row r="962" s="4" customFormat="1" x14ac:dyDescent="0.4"/>
    <row r="963" s="4" customFormat="1" x14ac:dyDescent="0.4"/>
    <row r="964" s="4" customFormat="1" x14ac:dyDescent="0.4"/>
    <row r="965" s="4" customFormat="1" x14ac:dyDescent="0.4"/>
    <row r="966" s="4" customFormat="1" x14ac:dyDescent="0.4"/>
    <row r="967" s="4" customFormat="1" x14ac:dyDescent="0.4"/>
    <row r="968" s="4" customFormat="1" x14ac:dyDescent="0.4"/>
    <row r="969" s="4" customFormat="1" x14ac:dyDescent="0.4"/>
    <row r="970" s="4" customFormat="1" x14ac:dyDescent="0.4"/>
    <row r="971" s="4" customFormat="1" x14ac:dyDescent="0.4"/>
    <row r="972" s="4" customFormat="1" x14ac:dyDescent="0.4"/>
    <row r="973" s="4" customFormat="1" x14ac:dyDescent="0.4"/>
    <row r="974" s="4" customFormat="1" x14ac:dyDescent="0.4"/>
    <row r="975" s="4" customFormat="1" x14ac:dyDescent="0.4"/>
    <row r="976" s="4" customFormat="1" x14ac:dyDescent="0.4"/>
    <row r="977" s="4" customFormat="1" x14ac:dyDescent="0.4"/>
    <row r="978" s="4" customFormat="1" x14ac:dyDescent="0.4"/>
    <row r="979" s="4" customFormat="1" x14ac:dyDescent="0.4"/>
    <row r="980" s="4" customFormat="1" x14ac:dyDescent="0.4"/>
    <row r="981" s="4" customFormat="1" x14ac:dyDescent="0.4"/>
    <row r="982" s="4" customFormat="1" x14ac:dyDescent="0.4"/>
    <row r="983" s="4" customFormat="1" x14ac:dyDescent="0.4"/>
    <row r="984" s="4" customFormat="1" x14ac:dyDescent="0.4"/>
    <row r="985" s="4" customFormat="1" x14ac:dyDescent="0.4"/>
    <row r="986" s="4" customFormat="1" x14ac:dyDescent="0.4"/>
    <row r="987" s="4" customFormat="1" x14ac:dyDescent="0.4"/>
    <row r="988" s="4" customFormat="1" x14ac:dyDescent="0.4"/>
    <row r="989" s="4" customFormat="1" x14ac:dyDescent="0.4"/>
    <row r="990" s="4" customFormat="1" x14ac:dyDescent="0.4"/>
    <row r="991" s="4" customFormat="1" x14ac:dyDescent="0.4"/>
    <row r="992" s="4" customFormat="1" x14ac:dyDescent="0.4"/>
    <row r="993" s="4" customFormat="1" x14ac:dyDescent="0.4"/>
    <row r="994" s="4" customFormat="1" x14ac:dyDescent="0.4"/>
    <row r="995" s="4" customFormat="1" x14ac:dyDescent="0.4"/>
    <row r="996" s="4" customFormat="1" x14ac:dyDescent="0.4"/>
    <row r="997" s="4" customFormat="1" x14ac:dyDescent="0.4"/>
    <row r="998" s="4" customFormat="1" x14ac:dyDescent="0.4"/>
    <row r="999" s="4" customFormat="1" x14ac:dyDescent="0.4"/>
    <row r="1000" s="4" customFormat="1" x14ac:dyDescent="0.4"/>
  </sheetData>
  <dataConsolidate/>
  <pageMargins left="0.7" right="0.7" top="0.75" bottom="0.75" header="0.3" footer="0.3"/>
  <pageSetup paperSize="9" orientation="portrait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6D9B1-438A-4F6E-BAA5-7D1E5C83403A}">
  <sheetPr codeName="Foglio11"/>
  <dimension ref="A1:AQ1000"/>
  <sheetViews>
    <sheetView tabSelected="1" zoomScale="85" zoomScaleNormal="85" workbookViewId="0">
      <selection activeCell="C21" sqref="C21"/>
    </sheetView>
  </sheetViews>
  <sheetFormatPr defaultColWidth="6.1796875" defaultRowHeight="14.5" x14ac:dyDescent="0.4"/>
  <cols>
    <col min="1" max="1" width="23.54296875" style="3" bestFit="1" customWidth="1"/>
    <col min="2" max="2" width="6.1796875" style="3"/>
    <col min="3" max="3" width="32.6328125" style="3" bestFit="1" customWidth="1"/>
    <col min="4" max="4" width="6.1796875" style="3"/>
    <col min="5" max="5" width="10.81640625" style="3" bestFit="1" customWidth="1"/>
    <col min="6" max="16384" width="6.1796875" style="3"/>
  </cols>
  <sheetData>
    <row r="1" spans="1:3" ht="17" thickBot="1" x14ac:dyDescent="0.5">
      <c r="A1" s="2" t="s">
        <v>2</v>
      </c>
      <c r="B1" s="2" t="s">
        <v>3</v>
      </c>
      <c r="C1" s="2" t="s">
        <v>4</v>
      </c>
    </row>
    <row r="2" spans="1:3" s="4" customFormat="1" x14ac:dyDescent="0.4">
      <c r="A2" s="1" t="s">
        <v>5</v>
      </c>
    </row>
    <row r="3" spans="1:3" s="4" customFormat="1" x14ac:dyDescent="0.4">
      <c r="A3" s="1" t="s">
        <v>0</v>
      </c>
    </row>
    <row r="4" spans="1:3" s="4" customFormat="1" x14ac:dyDescent="0.4">
      <c r="A4" s="1" t="s">
        <v>1</v>
      </c>
    </row>
    <row r="5" spans="1:3" s="4" customFormat="1" x14ac:dyDescent="0.4">
      <c r="A5" s="1" t="s">
        <v>6</v>
      </c>
      <c r="B5" s="4" t="s">
        <v>20</v>
      </c>
    </row>
    <row r="6" spans="1:3" s="4" customFormat="1" x14ac:dyDescent="0.4">
      <c r="A6" s="1" t="s">
        <v>7</v>
      </c>
      <c r="B6" s="4" t="s">
        <v>20</v>
      </c>
    </row>
    <row r="7" spans="1:3" s="4" customFormat="1" x14ac:dyDescent="0.4">
      <c r="A7" s="1" t="s">
        <v>8</v>
      </c>
      <c r="B7" s="4" t="s">
        <v>20</v>
      </c>
    </row>
    <row r="8" spans="1:3" s="4" customFormat="1" x14ac:dyDescent="0.4">
      <c r="A8" s="1" t="s">
        <v>9</v>
      </c>
      <c r="B8" s="4" t="s">
        <v>20</v>
      </c>
    </row>
    <row r="9" spans="1:3" s="4" customFormat="1" x14ac:dyDescent="0.4">
      <c r="A9" s="1" t="s">
        <v>10</v>
      </c>
      <c r="B9" s="4" t="s">
        <v>20</v>
      </c>
    </row>
    <row r="10" spans="1:3" s="4" customFormat="1" x14ac:dyDescent="0.4">
      <c r="A10" s="1" t="s">
        <v>11</v>
      </c>
      <c r="B10" s="4" t="s">
        <v>20</v>
      </c>
    </row>
    <row r="11" spans="1:3" s="4" customFormat="1" x14ac:dyDescent="0.4">
      <c r="A11" s="1" t="s">
        <v>12</v>
      </c>
      <c r="B11" s="4" t="s">
        <v>20</v>
      </c>
    </row>
    <row r="12" spans="1:3" s="4" customFormat="1" x14ac:dyDescent="0.4">
      <c r="A12" s="1" t="s">
        <v>13</v>
      </c>
      <c r="B12" s="4" t="s">
        <v>20</v>
      </c>
    </row>
    <row r="13" spans="1:3" s="4" customFormat="1" x14ac:dyDescent="0.4">
      <c r="A13" s="1" t="s">
        <v>14</v>
      </c>
      <c r="B13" s="4" t="s">
        <v>20</v>
      </c>
    </row>
    <row r="14" spans="1:3" s="4" customFormat="1" x14ac:dyDescent="0.4">
      <c r="A14" s="1" t="s">
        <v>15</v>
      </c>
      <c r="B14" s="4" t="s">
        <v>20</v>
      </c>
    </row>
    <row r="15" spans="1:3" s="4" customFormat="1" x14ac:dyDescent="0.4">
      <c r="A15" s="1" t="s">
        <v>16</v>
      </c>
      <c r="B15" s="4" t="s">
        <v>20</v>
      </c>
    </row>
    <row r="16" spans="1:3" s="4" customFormat="1" x14ac:dyDescent="0.4">
      <c r="A16" s="1" t="s">
        <v>17</v>
      </c>
      <c r="B16" s="4" t="s">
        <v>20</v>
      </c>
    </row>
    <row r="17" spans="1:2" s="4" customFormat="1" x14ac:dyDescent="0.4">
      <c r="A17" s="1" t="s">
        <v>18</v>
      </c>
      <c r="B17" s="4" t="s">
        <v>20</v>
      </c>
    </row>
    <row r="18" spans="1:2" s="4" customFormat="1" x14ac:dyDescent="0.4">
      <c r="A18" s="1" t="s">
        <v>22</v>
      </c>
      <c r="B18" s="4" t="s">
        <v>20</v>
      </c>
    </row>
    <row r="19" spans="1:2" s="4" customFormat="1" x14ac:dyDescent="0.4">
      <c r="A19" s="1" t="s">
        <v>21</v>
      </c>
      <c r="B19" s="4" t="s">
        <v>20</v>
      </c>
    </row>
    <row r="20" spans="1:2" s="4" customFormat="1" x14ac:dyDescent="0.4">
      <c r="A20" s="1" t="s">
        <v>23</v>
      </c>
      <c r="B20" s="4" t="s">
        <v>20</v>
      </c>
    </row>
    <row r="21" spans="1:2" s="4" customFormat="1" x14ac:dyDescent="0.4">
      <c r="A21" s="1"/>
    </row>
    <row r="22" spans="1:2" s="4" customFormat="1" x14ac:dyDescent="0.4"/>
    <row r="23" spans="1:2" s="4" customFormat="1" x14ac:dyDescent="0.4"/>
    <row r="24" spans="1:2" s="4" customFormat="1" x14ac:dyDescent="0.4"/>
    <row r="25" spans="1:2" s="4" customFormat="1" x14ac:dyDescent="0.4"/>
    <row r="26" spans="1:2" s="4" customFormat="1" x14ac:dyDescent="0.4"/>
    <row r="27" spans="1:2" s="4" customFormat="1" x14ac:dyDescent="0.4"/>
    <row r="28" spans="1:2" s="4" customFormat="1" x14ac:dyDescent="0.4"/>
    <row r="29" spans="1:2" s="4" customFormat="1" x14ac:dyDescent="0.4"/>
    <row r="30" spans="1:2" s="4" customFormat="1" x14ac:dyDescent="0.4"/>
    <row r="31" spans="1:2" s="4" customFormat="1" x14ac:dyDescent="0.4"/>
    <row r="32" spans="1:2" s="4" customFormat="1" x14ac:dyDescent="0.4"/>
    <row r="33" s="4" customFormat="1" x14ac:dyDescent="0.4"/>
    <row r="34" s="4" customFormat="1" x14ac:dyDescent="0.4"/>
    <row r="35" s="4" customFormat="1" x14ac:dyDescent="0.4"/>
    <row r="36" s="4" customFormat="1" x14ac:dyDescent="0.4"/>
    <row r="37" s="4" customFormat="1" x14ac:dyDescent="0.4"/>
    <row r="38" s="4" customFormat="1" x14ac:dyDescent="0.4"/>
    <row r="39" s="4" customFormat="1" x14ac:dyDescent="0.4"/>
    <row r="40" s="4" customFormat="1" x14ac:dyDescent="0.4"/>
    <row r="41" s="4" customFormat="1" x14ac:dyDescent="0.4"/>
    <row r="42" s="4" customFormat="1" x14ac:dyDescent="0.4"/>
    <row r="43" s="4" customFormat="1" x14ac:dyDescent="0.4"/>
    <row r="44" s="4" customFormat="1" x14ac:dyDescent="0.4"/>
    <row r="45" s="4" customFormat="1" x14ac:dyDescent="0.4"/>
    <row r="46" s="4" customFormat="1" x14ac:dyDescent="0.4"/>
    <row r="47" s="4" customFormat="1" x14ac:dyDescent="0.4"/>
    <row r="48" s="4" customFormat="1" x14ac:dyDescent="0.4"/>
    <row r="49" s="4" customFormat="1" x14ac:dyDescent="0.4"/>
    <row r="50" s="4" customFormat="1" x14ac:dyDescent="0.4"/>
    <row r="51" s="4" customFormat="1" x14ac:dyDescent="0.4"/>
    <row r="52" s="4" customFormat="1" x14ac:dyDescent="0.4"/>
    <row r="53" s="4" customFormat="1" x14ac:dyDescent="0.4"/>
    <row r="54" s="4" customFormat="1" x14ac:dyDescent="0.4"/>
    <row r="55" s="4" customFormat="1" x14ac:dyDescent="0.4"/>
    <row r="56" s="4" customFormat="1" x14ac:dyDescent="0.4"/>
    <row r="57" s="4" customFormat="1" x14ac:dyDescent="0.4"/>
    <row r="58" s="4" customFormat="1" x14ac:dyDescent="0.4"/>
    <row r="59" s="4" customFormat="1" x14ac:dyDescent="0.4"/>
    <row r="60" s="4" customFormat="1" x14ac:dyDescent="0.4"/>
    <row r="61" s="4" customFormat="1" x14ac:dyDescent="0.4"/>
    <row r="62" s="4" customFormat="1" x14ac:dyDescent="0.4"/>
    <row r="63" s="4" customFormat="1" x14ac:dyDescent="0.4"/>
    <row r="64" s="4" customFormat="1" x14ac:dyDescent="0.4"/>
    <row r="65" s="4" customFormat="1" x14ac:dyDescent="0.4"/>
    <row r="66" s="4" customFormat="1" x14ac:dyDescent="0.4"/>
    <row r="67" s="4" customFormat="1" x14ac:dyDescent="0.4"/>
    <row r="68" s="4" customFormat="1" x14ac:dyDescent="0.4"/>
    <row r="69" s="4" customFormat="1" x14ac:dyDescent="0.4"/>
    <row r="70" s="4" customFormat="1" x14ac:dyDescent="0.4"/>
    <row r="71" s="4" customFormat="1" x14ac:dyDescent="0.4"/>
    <row r="72" s="4" customFormat="1" x14ac:dyDescent="0.4"/>
    <row r="73" s="4" customFormat="1" x14ac:dyDescent="0.4"/>
    <row r="74" s="4" customFormat="1" x14ac:dyDescent="0.4"/>
    <row r="75" s="4" customFormat="1" x14ac:dyDescent="0.4"/>
    <row r="76" s="4" customFormat="1" x14ac:dyDescent="0.4"/>
    <row r="77" s="4" customFormat="1" x14ac:dyDescent="0.4"/>
    <row r="78" s="4" customFormat="1" x14ac:dyDescent="0.4"/>
    <row r="79" s="4" customFormat="1" x14ac:dyDescent="0.4"/>
    <row r="80" s="4" customFormat="1" x14ac:dyDescent="0.4"/>
    <row r="81" s="4" customFormat="1" x14ac:dyDescent="0.4"/>
    <row r="82" s="4" customFormat="1" x14ac:dyDescent="0.4"/>
    <row r="83" s="4" customFormat="1" x14ac:dyDescent="0.4"/>
    <row r="84" s="4" customFormat="1" x14ac:dyDescent="0.4"/>
    <row r="85" s="4" customFormat="1" x14ac:dyDescent="0.4"/>
    <row r="86" s="4" customFormat="1" x14ac:dyDescent="0.4"/>
    <row r="87" s="4" customFormat="1" x14ac:dyDescent="0.4"/>
    <row r="88" s="4" customFormat="1" x14ac:dyDescent="0.4"/>
    <row r="89" s="4" customFormat="1" x14ac:dyDescent="0.4"/>
    <row r="90" s="4" customFormat="1" x14ac:dyDescent="0.4"/>
    <row r="91" s="4" customFormat="1" x14ac:dyDescent="0.4"/>
    <row r="92" s="4" customFormat="1" x14ac:dyDescent="0.4"/>
    <row r="93" s="4" customFormat="1" x14ac:dyDescent="0.4"/>
    <row r="94" s="4" customFormat="1" x14ac:dyDescent="0.4"/>
    <row r="95" s="4" customFormat="1" x14ac:dyDescent="0.4"/>
    <row r="96" s="4" customFormat="1" x14ac:dyDescent="0.4"/>
    <row r="97" s="4" customFormat="1" x14ac:dyDescent="0.4"/>
    <row r="98" s="4" customFormat="1" x14ac:dyDescent="0.4"/>
    <row r="99" s="4" customFormat="1" x14ac:dyDescent="0.4"/>
    <row r="100" s="4" customFormat="1" x14ac:dyDescent="0.4"/>
    <row r="101" s="4" customFormat="1" x14ac:dyDescent="0.4"/>
    <row r="102" s="4" customFormat="1" x14ac:dyDescent="0.4"/>
    <row r="103" s="4" customFormat="1" x14ac:dyDescent="0.4"/>
    <row r="104" s="4" customFormat="1" x14ac:dyDescent="0.4"/>
    <row r="105" s="4" customFormat="1" x14ac:dyDescent="0.4"/>
    <row r="106" s="4" customFormat="1" x14ac:dyDescent="0.4"/>
    <row r="107" s="4" customFormat="1" x14ac:dyDescent="0.4"/>
    <row r="108" s="4" customFormat="1" x14ac:dyDescent="0.4"/>
    <row r="109" s="4" customFormat="1" x14ac:dyDescent="0.4"/>
    <row r="110" s="4" customFormat="1" x14ac:dyDescent="0.4"/>
    <row r="111" s="4" customFormat="1" x14ac:dyDescent="0.4"/>
    <row r="112" s="4" customFormat="1" x14ac:dyDescent="0.4"/>
    <row r="113" s="4" customFormat="1" x14ac:dyDescent="0.4"/>
    <row r="114" s="4" customFormat="1" x14ac:dyDescent="0.4"/>
    <row r="115" s="4" customFormat="1" x14ac:dyDescent="0.4"/>
    <row r="116" s="4" customFormat="1" x14ac:dyDescent="0.4"/>
    <row r="117" s="4" customFormat="1" x14ac:dyDescent="0.4"/>
    <row r="118" s="4" customFormat="1" x14ac:dyDescent="0.4"/>
    <row r="119" s="4" customFormat="1" x14ac:dyDescent="0.4"/>
    <row r="120" s="4" customFormat="1" x14ac:dyDescent="0.4"/>
    <row r="121" s="4" customFormat="1" x14ac:dyDescent="0.4"/>
    <row r="122" s="4" customFormat="1" x14ac:dyDescent="0.4"/>
    <row r="123" s="4" customFormat="1" x14ac:dyDescent="0.4"/>
    <row r="124" s="4" customFormat="1" x14ac:dyDescent="0.4"/>
    <row r="125" s="4" customFormat="1" x14ac:dyDescent="0.4"/>
    <row r="126" s="4" customFormat="1" x14ac:dyDescent="0.4"/>
    <row r="127" s="4" customFormat="1" x14ac:dyDescent="0.4"/>
    <row r="128" s="4" customFormat="1" x14ac:dyDescent="0.4"/>
    <row r="129" s="4" customFormat="1" x14ac:dyDescent="0.4"/>
    <row r="130" s="4" customFormat="1" x14ac:dyDescent="0.4"/>
    <row r="131" s="4" customFormat="1" x14ac:dyDescent="0.4"/>
    <row r="132" s="4" customFormat="1" x14ac:dyDescent="0.4"/>
    <row r="133" s="4" customFormat="1" x14ac:dyDescent="0.4"/>
    <row r="134" s="4" customFormat="1" x14ac:dyDescent="0.4"/>
    <row r="135" s="4" customFormat="1" x14ac:dyDescent="0.4"/>
    <row r="136" s="4" customFormat="1" x14ac:dyDescent="0.4"/>
    <row r="137" s="4" customFormat="1" x14ac:dyDescent="0.4"/>
    <row r="138" s="4" customFormat="1" x14ac:dyDescent="0.4"/>
    <row r="139" s="4" customFormat="1" x14ac:dyDescent="0.4"/>
    <row r="140" s="4" customFormat="1" x14ac:dyDescent="0.4"/>
    <row r="141" s="4" customFormat="1" x14ac:dyDescent="0.4"/>
    <row r="142" s="4" customFormat="1" x14ac:dyDescent="0.4"/>
    <row r="143" s="4" customFormat="1" x14ac:dyDescent="0.4"/>
    <row r="144" s="4" customFormat="1" x14ac:dyDescent="0.4"/>
    <row r="145" s="4" customFormat="1" x14ac:dyDescent="0.4"/>
    <row r="146" s="4" customFormat="1" x14ac:dyDescent="0.4"/>
    <row r="147" s="4" customFormat="1" x14ac:dyDescent="0.4"/>
    <row r="148" s="4" customFormat="1" x14ac:dyDescent="0.4"/>
    <row r="149" s="4" customFormat="1" x14ac:dyDescent="0.4"/>
    <row r="150" s="4" customFormat="1" x14ac:dyDescent="0.4"/>
    <row r="151" s="4" customFormat="1" x14ac:dyDescent="0.4"/>
    <row r="152" s="4" customFormat="1" x14ac:dyDescent="0.4"/>
    <row r="153" s="4" customFormat="1" x14ac:dyDescent="0.4"/>
    <row r="154" s="4" customFormat="1" x14ac:dyDescent="0.4"/>
    <row r="155" s="4" customFormat="1" x14ac:dyDescent="0.4"/>
    <row r="156" s="4" customFormat="1" x14ac:dyDescent="0.4"/>
    <row r="157" s="4" customFormat="1" x14ac:dyDescent="0.4"/>
    <row r="158" s="4" customFormat="1" x14ac:dyDescent="0.4"/>
    <row r="159" s="4" customFormat="1" x14ac:dyDescent="0.4"/>
    <row r="160" s="4" customFormat="1" x14ac:dyDescent="0.4"/>
    <row r="161" s="4" customFormat="1" x14ac:dyDescent="0.4"/>
    <row r="162" s="4" customFormat="1" x14ac:dyDescent="0.4"/>
    <row r="163" s="4" customFormat="1" x14ac:dyDescent="0.4"/>
    <row r="164" s="4" customFormat="1" x14ac:dyDescent="0.4"/>
    <row r="165" s="4" customFormat="1" x14ac:dyDescent="0.4"/>
    <row r="166" s="4" customFormat="1" x14ac:dyDescent="0.4"/>
    <row r="167" s="4" customFormat="1" x14ac:dyDescent="0.4"/>
    <row r="168" s="4" customFormat="1" x14ac:dyDescent="0.4"/>
    <row r="169" s="4" customFormat="1" x14ac:dyDescent="0.4"/>
    <row r="170" s="4" customFormat="1" x14ac:dyDescent="0.4"/>
    <row r="171" s="4" customFormat="1" x14ac:dyDescent="0.4"/>
    <row r="172" s="4" customFormat="1" x14ac:dyDescent="0.4"/>
    <row r="173" s="4" customFormat="1" x14ac:dyDescent="0.4"/>
    <row r="174" s="4" customFormat="1" x14ac:dyDescent="0.4"/>
    <row r="175" s="4" customFormat="1" x14ac:dyDescent="0.4"/>
    <row r="176" s="4" customFormat="1" x14ac:dyDescent="0.4"/>
    <row r="177" s="4" customFormat="1" x14ac:dyDescent="0.4"/>
    <row r="178" s="4" customFormat="1" x14ac:dyDescent="0.4"/>
    <row r="179" s="4" customFormat="1" x14ac:dyDescent="0.4"/>
    <row r="180" s="4" customFormat="1" x14ac:dyDescent="0.4"/>
    <row r="181" s="4" customFormat="1" x14ac:dyDescent="0.4"/>
    <row r="182" s="4" customFormat="1" x14ac:dyDescent="0.4"/>
    <row r="183" s="4" customFormat="1" x14ac:dyDescent="0.4"/>
    <row r="184" s="4" customFormat="1" x14ac:dyDescent="0.4"/>
    <row r="185" s="4" customFormat="1" x14ac:dyDescent="0.4"/>
    <row r="186" s="4" customFormat="1" x14ac:dyDescent="0.4"/>
    <row r="187" s="4" customFormat="1" x14ac:dyDescent="0.4"/>
    <row r="188" s="4" customFormat="1" x14ac:dyDescent="0.4"/>
    <row r="189" s="4" customFormat="1" x14ac:dyDescent="0.4"/>
    <row r="190" s="4" customFormat="1" x14ac:dyDescent="0.4"/>
    <row r="191" s="4" customFormat="1" x14ac:dyDescent="0.4"/>
    <row r="192" s="4" customFormat="1" x14ac:dyDescent="0.4"/>
    <row r="193" s="4" customFormat="1" x14ac:dyDescent="0.4"/>
    <row r="194" s="4" customFormat="1" x14ac:dyDescent="0.4"/>
    <row r="195" s="4" customFormat="1" x14ac:dyDescent="0.4"/>
    <row r="196" s="4" customFormat="1" x14ac:dyDescent="0.4"/>
    <row r="197" s="4" customFormat="1" x14ac:dyDescent="0.4"/>
    <row r="198" s="4" customFormat="1" x14ac:dyDescent="0.4"/>
    <row r="199" s="4" customFormat="1" x14ac:dyDescent="0.4"/>
    <row r="200" s="4" customFormat="1" x14ac:dyDescent="0.4"/>
    <row r="201" s="4" customFormat="1" x14ac:dyDescent="0.4"/>
    <row r="202" s="4" customFormat="1" x14ac:dyDescent="0.4"/>
    <row r="203" s="4" customFormat="1" x14ac:dyDescent="0.4"/>
    <row r="204" s="4" customFormat="1" x14ac:dyDescent="0.4"/>
    <row r="205" s="4" customFormat="1" x14ac:dyDescent="0.4"/>
    <row r="206" s="4" customFormat="1" x14ac:dyDescent="0.4"/>
    <row r="207" s="4" customFormat="1" x14ac:dyDescent="0.4"/>
    <row r="208" s="4" customFormat="1" x14ac:dyDescent="0.4"/>
    <row r="209" s="4" customFormat="1" x14ac:dyDescent="0.4"/>
    <row r="210" s="4" customFormat="1" x14ac:dyDescent="0.4"/>
    <row r="211" s="4" customFormat="1" x14ac:dyDescent="0.4"/>
    <row r="212" s="4" customFormat="1" x14ac:dyDescent="0.4"/>
    <row r="213" s="4" customFormat="1" x14ac:dyDescent="0.4"/>
    <row r="214" s="4" customFormat="1" x14ac:dyDescent="0.4"/>
    <row r="215" s="4" customFormat="1" x14ac:dyDescent="0.4"/>
    <row r="216" s="4" customFormat="1" x14ac:dyDescent="0.4"/>
    <row r="217" s="4" customFormat="1" x14ac:dyDescent="0.4"/>
    <row r="218" s="4" customFormat="1" x14ac:dyDescent="0.4"/>
    <row r="219" s="4" customFormat="1" x14ac:dyDescent="0.4"/>
    <row r="220" s="4" customFormat="1" x14ac:dyDescent="0.4"/>
    <row r="221" s="4" customFormat="1" x14ac:dyDescent="0.4"/>
    <row r="222" s="4" customFormat="1" x14ac:dyDescent="0.4"/>
    <row r="223" s="4" customFormat="1" x14ac:dyDescent="0.4"/>
    <row r="224" s="4" customFormat="1" x14ac:dyDescent="0.4"/>
    <row r="225" s="4" customFormat="1" x14ac:dyDescent="0.4"/>
    <row r="226" s="4" customFormat="1" x14ac:dyDescent="0.4"/>
    <row r="227" s="4" customFormat="1" x14ac:dyDescent="0.4"/>
    <row r="228" s="4" customFormat="1" x14ac:dyDescent="0.4"/>
    <row r="229" s="4" customFormat="1" x14ac:dyDescent="0.4"/>
    <row r="230" s="4" customFormat="1" x14ac:dyDescent="0.4"/>
    <row r="231" s="4" customFormat="1" x14ac:dyDescent="0.4"/>
    <row r="232" s="4" customFormat="1" x14ac:dyDescent="0.4"/>
    <row r="233" s="4" customFormat="1" x14ac:dyDescent="0.4"/>
    <row r="234" s="4" customFormat="1" x14ac:dyDescent="0.4"/>
    <row r="235" s="4" customFormat="1" x14ac:dyDescent="0.4"/>
    <row r="236" s="4" customFormat="1" x14ac:dyDescent="0.4"/>
    <row r="237" s="4" customFormat="1" x14ac:dyDescent="0.4"/>
    <row r="238" s="4" customFormat="1" x14ac:dyDescent="0.4"/>
    <row r="239" s="4" customFormat="1" x14ac:dyDescent="0.4"/>
    <row r="240" s="4" customFormat="1" x14ac:dyDescent="0.4"/>
    <row r="241" s="4" customFormat="1" x14ac:dyDescent="0.4"/>
    <row r="242" s="4" customFormat="1" x14ac:dyDescent="0.4"/>
    <row r="243" s="4" customFormat="1" x14ac:dyDescent="0.4"/>
    <row r="244" s="4" customFormat="1" x14ac:dyDescent="0.4"/>
    <row r="245" s="4" customFormat="1" x14ac:dyDescent="0.4"/>
    <row r="246" s="4" customFormat="1" x14ac:dyDescent="0.4"/>
    <row r="247" s="4" customFormat="1" x14ac:dyDescent="0.4"/>
    <row r="248" s="4" customFormat="1" x14ac:dyDescent="0.4"/>
    <row r="249" s="4" customFormat="1" x14ac:dyDescent="0.4"/>
    <row r="250" s="4" customFormat="1" x14ac:dyDescent="0.4"/>
    <row r="251" s="4" customFormat="1" x14ac:dyDescent="0.4"/>
    <row r="252" s="4" customFormat="1" x14ac:dyDescent="0.4"/>
    <row r="253" s="4" customFormat="1" x14ac:dyDescent="0.4"/>
    <row r="254" s="4" customFormat="1" x14ac:dyDescent="0.4"/>
    <row r="255" s="4" customFormat="1" x14ac:dyDescent="0.4"/>
    <row r="256" s="4" customFormat="1" x14ac:dyDescent="0.4"/>
    <row r="257" s="4" customFormat="1" x14ac:dyDescent="0.4"/>
    <row r="258" s="4" customFormat="1" x14ac:dyDescent="0.4"/>
    <row r="259" s="4" customFormat="1" x14ac:dyDescent="0.4"/>
    <row r="260" s="4" customFormat="1" x14ac:dyDescent="0.4"/>
    <row r="261" s="4" customFormat="1" x14ac:dyDescent="0.4"/>
    <row r="262" s="4" customFormat="1" x14ac:dyDescent="0.4"/>
    <row r="263" s="4" customFormat="1" x14ac:dyDescent="0.4"/>
    <row r="264" s="4" customFormat="1" x14ac:dyDescent="0.4"/>
    <row r="265" s="4" customFormat="1" x14ac:dyDescent="0.4"/>
    <row r="266" s="4" customFormat="1" x14ac:dyDescent="0.4"/>
    <row r="267" s="4" customFormat="1" x14ac:dyDescent="0.4"/>
    <row r="268" s="4" customFormat="1" x14ac:dyDescent="0.4"/>
    <row r="269" s="4" customFormat="1" x14ac:dyDescent="0.4"/>
    <row r="270" s="4" customFormat="1" x14ac:dyDescent="0.4"/>
    <row r="271" s="4" customFormat="1" x14ac:dyDescent="0.4"/>
    <row r="272" s="4" customFormat="1" x14ac:dyDescent="0.4"/>
    <row r="273" s="4" customFormat="1" x14ac:dyDescent="0.4"/>
    <row r="274" s="4" customFormat="1" x14ac:dyDescent="0.4"/>
    <row r="275" s="4" customFormat="1" x14ac:dyDescent="0.4"/>
    <row r="276" s="4" customFormat="1" x14ac:dyDescent="0.4"/>
    <row r="277" s="4" customFormat="1" x14ac:dyDescent="0.4"/>
    <row r="278" s="4" customFormat="1" x14ac:dyDescent="0.4"/>
    <row r="279" s="4" customFormat="1" x14ac:dyDescent="0.4"/>
    <row r="280" s="4" customFormat="1" x14ac:dyDescent="0.4"/>
    <row r="281" s="4" customFormat="1" x14ac:dyDescent="0.4"/>
    <row r="282" s="4" customFormat="1" x14ac:dyDescent="0.4"/>
    <row r="283" s="4" customFormat="1" x14ac:dyDescent="0.4"/>
    <row r="284" s="4" customFormat="1" x14ac:dyDescent="0.4"/>
    <row r="285" s="4" customFormat="1" x14ac:dyDescent="0.4"/>
    <row r="286" s="4" customFormat="1" x14ac:dyDescent="0.4"/>
    <row r="287" s="4" customFormat="1" x14ac:dyDescent="0.4"/>
    <row r="288" s="4" customFormat="1" x14ac:dyDescent="0.4"/>
    <row r="289" s="4" customFormat="1" x14ac:dyDescent="0.4"/>
    <row r="290" s="4" customFormat="1" x14ac:dyDescent="0.4"/>
    <row r="291" s="4" customFormat="1" x14ac:dyDescent="0.4"/>
    <row r="292" s="4" customFormat="1" x14ac:dyDescent="0.4"/>
    <row r="293" s="4" customFormat="1" x14ac:dyDescent="0.4"/>
    <row r="294" s="4" customFormat="1" x14ac:dyDescent="0.4"/>
    <row r="295" s="4" customFormat="1" x14ac:dyDescent="0.4"/>
    <row r="296" s="4" customFormat="1" x14ac:dyDescent="0.4"/>
    <row r="297" s="4" customFormat="1" x14ac:dyDescent="0.4"/>
    <row r="298" s="4" customFormat="1" x14ac:dyDescent="0.4"/>
    <row r="299" s="4" customFormat="1" x14ac:dyDescent="0.4"/>
    <row r="300" s="4" customFormat="1" x14ac:dyDescent="0.4"/>
    <row r="301" s="4" customFormat="1" x14ac:dyDescent="0.4"/>
    <row r="302" s="4" customFormat="1" x14ac:dyDescent="0.4"/>
    <row r="303" s="4" customFormat="1" x14ac:dyDescent="0.4"/>
    <row r="304" s="4" customFormat="1" x14ac:dyDescent="0.4"/>
    <row r="305" s="4" customFormat="1" x14ac:dyDescent="0.4"/>
    <row r="306" s="4" customFormat="1" x14ac:dyDescent="0.4"/>
    <row r="307" s="4" customFormat="1" x14ac:dyDescent="0.4"/>
    <row r="308" s="4" customFormat="1" x14ac:dyDescent="0.4"/>
    <row r="309" s="4" customFormat="1" x14ac:dyDescent="0.4"/>
    <row r="310" s="4" customFormat="1" x14ac:dyDescent="0.4"/>
    <row r="311" s="4" customFormat="1" x14ac:dyDescent="0.4"/>
    <row r="312" s="4" customFormat="1" x14ac:dyDescent="0.4"/>
    <row r="313" s="4" customFormat="1" x14ac:dyDescent="0.4"/>
    <row r="314" s="4" customFormat="1" x14ac:dyDescent="0.4"/>
    <row r="315" s="4" customFormat="1" x14ac:dyDescent="0.4"/>
    <row r="316" s="4" customFormat="1" x14ac:dyDescent="0.4"/>
    <row r="317" s="4" customFormat="1" x14ac:dyDescent="0.4"/>
    <row r="318" s="4" customFormat="1" x14ac:dyDescent="0.4"/>
    <row r="319" s="4" customFormat="1" x14ac:dyDescent="0.4"/>
    <row r="320" s="4" customFormat="1" x14ac:dyDescent="0.4"/>
    <row r="321" spans="3:43" s="4" customFormat="1" x14ac:dyDescent="0.4"/>
    <row r="322" spans="3:43" s="4" customFormat="1" x14ac:dyDescent="0.4"/>
    <row r="323" spans="3:43" s="4" customFormat="1" x14ac:dyDescent="0.4">
      <c r="C323" s="14" t="s">
        <v>7</v>
      </c>
      <c r="D323" s="8">
        <v>0</v>
      </c>
      <c r="E323" s="8">
        <v>1</v>
      </c>
      <c r="F323" s="8">
        <v>2</v>
      </c>
      <c r="G323" s="8">
        <v>3</v>
      </c>
      <c r="H323" s="8">
        <v>4</v>
      </c>
      <c r="I323" s="8">
        <v>5</v>
      </c>
      <c r="J323" s="8">
        <v>6</v>
      </c>
      <c r="K323" s="8">
        <v>7</v>
      </c>
      <c r="L323" s="8">
        <v>8</v>
      </c>
      <c r="M323" s="8">
        <v>9</v>
      </c>
      <c r="N323" s="8">
        <v>10</v>
      </c>
      <c r="O323" s="8">
        <v>11</v>
      </c>
      <c r="P323" s="8">
        <v>12</v>
      </c>
      <c r="Q323" s="8">
        <v>13</v>
      </c>
      <c r="R323" s="8">
        <v>14</v>
      </c>
      <c r="S323" s="8">
        <v>15</v>
      </c>
      <c r="T323" s="8">
        <v>16</v>
      </c>
      <c r="U323" s="8">
        <v>17</v>
      </c>
      <c r="V323" s="8">
        <v>18</v>
      </c>
      <c r="W323" s="8">
        <v>19</v>
      </c>
      <c r="X323" s="8">
        <v>20</v>
      </c>
      <c r="Y323" s="8">
        <v>21</v>
      </c>
      <c r="Z323" s="8">
        <v>22</v>
      </c>
      <c r="AA323" s="8">
        <v>23</v>
      </c>
      <c r="AB323" s="8">
        <v>24</v>
      </c>
      <c r="AC323" s="8">
        <v>25</v>
      </c>
      <c r="AD323" s="8">
        <v>26</v>
      </c>
      <c r="AE323" s="8">
        <v>27</v>
      </c>
      <c r="AF323" s="8">
        <v>28</v>
      </c>
      <c r="AG323" s="8">
        <v>29</v>
      </c>
      <c r="AH323" s="8">
        <v>30</v>
      </c>
      <c r="AI323" s="8">
        <v>31</v>
      </c>
      <c r="AJ323" s="8">
        <v>32</v>
      </c>
      <c r="AK323" s="8">
        <v>33</v>
      </c>
      <c r="AL323" s="8">
        <v>34</v>
      </c>
      <c r="AM323" s="8">
        <v>35</v>
      </c>
      <c r="AN323" s="8">
        <v>36</v>
      </c>
      <c r="AO323" s="8">
        <v>37</v>
      </c>
      <c r="AP323" s="8">
        <v>38</v>
      </c>
      <c r="AQ323" s="9">
        <v>39</v>
      </c>
    </row>
    <row r="324" spans="3:43" s="4" customFormat="1" x14ac:dyDescent="0.4">
      <c r="C324" s="10" t="s">
        <v>19</v>
      </c>
      <c r="D324" s="7" t="s">
        <v>32</v>
      </c>
      <c r="E324" s="8">
        <v>4603402980.8919096</v>
      </c>
      <c r="F324" s="8">
        <v>4075804048.78862</v>
      </c>
      <c r="G324" s="8">
        <v>3581602266.0776501</v>
      </c>
      <c r="H324" s="8">
        <v>3187384794.5229001</v>
      </c>
      <c r="I324" s="8">
        <v>2841555070.13726</v>
      </c>
      <c r="J324" s="8">
        <v>2584580772.5892401</v>
      </c>
      <c r="K324" s="8">
        <v>2358537481.5272598</v>
      </c>
      <c r="L324" s="8">
        <v>2158567054.77321</v>
      </c>
      <c r="M324" s="8">
        <v>1972622317.3836401</v>
      </c>
      <c r="N324" s="8">
        <v>1793926671.0604401</v>
      </c>
      <c r="O324" s="8">
        <v>1633797278.43573</v>
      </c>
      <c r="P324" s="8">
        <v>1471313374.9684501</v>
      </c>
      <c r="Q324" s="8">
        <v>1314440742.3201101</v>
      </c>
      <c r="R324" s="8">
        <v>1166834220.9490399</v>
      </c>
      <c r="S324" s="8">
        <v>1034779846.25199</v>
      </c>
      <c r="T324" s="8">
        <v>910608500.94322705</v>
      </c>
      <c r="U324" s="8">
        <v>793609904.67472303</v>
      </c>
      <c r="V324" s="8">
        <v>691916291.52570903</v>
      </c>
      <c r="W324" s="8">
        <v>601433729.12618601</v>
      </c>
      <c r="X324" s="8">
        <v>525009144.46849298</v>
      </c>
      <c r="Y324" s="8">
        <v>459197776.65902102</v>
      </c>
      <c r="Z324" s="8">
        <v>402851658.59833097</v>
      </c>
      <c r="AA324" s="8">
        <v>355762815.32620001</v>
      </c>
      <c r="AB324" s="8">
        <v>308604057.76738697</v>
      </c>
      <c r="AC324" s="8">
        <v>271964211.79264897</v>
      </c>
      <c r="AD324" s="8">
        <v>238151672.25906199</v>
      </c>
      <c r="AE324" s="8">
        <v>208718088.66569999</v>
      </c>
      <c r="AF324" s="8">
        <v>183070768.65507799</v>
      </c>
      <c r="AG324" s="8">
        <v>159956238.06638399</v>
      </c>
      <c r="AH324" s="8">
        <v>139969231.963664</v>
      </c>
      <c r="AI324" s="8">
        <v>123149020.213672</v>
      </c>
      <c r="AJ324" s="8">
        <v>108477719.037871</v>
      </c>
      <c r="AK324" s="8">
        <v>95415761.032726094</v>
      </c>
      <c r="AL324" s="8">
        <v>83519278.426982194</v>
      </c>
      <c r="AM324" s="8">
        <v>73173928.215852007</v>
      </c>
      <c r="AN324" s="8">
        <v>63780422.381719097</v>
      </c>
      <c r="AO324" s="8">
        <v>55792604.831644803</v>
      </c>
      <c r="AP324" s="8">
        <v>48934525.404709503</v>
      </c>
      <c r="AQ324" s="9">
        <v>42962217.713881098</v>
      </c>
    </row>
    <row r="325" spans="3:43" s="4" customFormat="1" x14ac:dyDescent="0.4">
      <c r="C325" s="11" t="s">
        <v>24</v>
      </c>
      <c r="D325" s="11">
        <v>5266960774.8746004</v>
      </c>
      <c r="E325" s="12">
        <v>4471153202.9262896</v>
      </c>
      <c r="F325" s="12">
        <v>3878982273.04387</v>
      </c>
      <c r="G325" s="12">
        <v>3349257788.3805299</v>
      </c>
      <c r="H325" s="12">
        <v>2912846769.9822202</v>
      </c>
      <c r="I325" s="12">
        <v>2556662480.5641298</v>
      </c>
      <c r="J325" s="12">
        <v>2271094273.1522899</v>
      </c>
      <c r="K325" s="12">
        <v>2047555352.4019001</v>
      </c>
      <c r="L325" s="12">
        <v>1850929826.6031301</v>
      </c>
      <c r="M325" s="12">
        <v>1673704815.9377501</v>
      </c>
      <c r="N325" s="12">
        <v>1521659653.14485</v>
      </c>
      <c r="O325" s="12">
        <v>1374713640.7597201</v>
      </c>
      <c r="P325" s="12">
        <v>1235860034.1377001</v>
      </c>
      <c r="Q325" s="12">
        <v>1103976961.4753001</v>
      </c>
      <c r="R325" s="12">
        <v>981255579.74517703</v>
      </c>
      <c r="S325" s="12">
        <v>864006157.39550102</v>
      </c>
      <c r="T325" s="12">
        <v>752927085.99781895</v>
      </c>
      <c r="U325" s="12">
        <v>654543060.96789598</v>
      </c>
      <c r="V325" s="12">
        <v>568842983.96967995</v>
      </c>
      <c r="W325" s="12">
        <v>494291823.63762999</v>
      </c>
      <c r="X325" s="12">
        <v>428572400.87313002</v>
      </c>
      <c r="Y325" s="12">
        <v>372427189.700445</v>
      </c>
      <c r="Z325" s="12">
        <v>326965693.04090297</v>
      </c>
      <c r="AA325" s="12">
        <v>288145609.28905302</v>
      </c>
      <c r="AB325" s="12">
        <v>254417543.12996501</v>
      </c>
      <c r="AC325" s="12">
        <v>223540701.06175601</v>
      </c>
      <c r="AD325" s="12">
        <v>197232599.627774</v>
      </c>
      <c r="AE325" s="12">
        <v>173736519.38888499</v>
      </c>
      <c r="AF325" s="12">
        <v>154622487.42786399</v>
      </c>
      <c r="AG325" s="12">
        <v>132546075.539957</v>
      </c>
      <c r="AH325" s="12">
        <v>118005378.145873</v>
      </c>
      <c r="AI325" s="12">
        <v>104638922.805674</v>
      </c>
      <c r="AJ325" s="12">
        <v>93323579.255207494</v>
      </c>
      <c r="AK325" s="12">
        <v>82967153.728386298</v>
      </c>
      <c r="AL325" s="12">
        <v>73181346.934032395</v>
      </c>
      <c r="AM325" s="12">
        <v>63688353.383277401</v>
      </c>
      <c r="AN325" s="12">
        <v>54094275.121690497</v>
      </c>
      <c r="AO325" s="12">
        <v>46863301.165775798</v>
      </c>
      <c r="AP325" s="12">
        <v>40046980.318749197</v>
      </c>
      <c r="AQ325" s="13">
        <v>32166569.6091832</v>
      </c>
    </row>
    <row r="326" spans="3:43" s="4" customFormat="1" x14ac:dyDescent="0.4"/>
    <row r="327" spans="3:43" s="4" customFormat="1" x14ac:dyDescent="0.4"/>
    <row r="328" spans="3:43" s="4" customFormat="1" x14ac:dyDescent="0.4">
      <c r="C328" s="4" t="s">
        <v>9</v>
      </c>
      <c r="D328" s="4">
        <v>0</v>
      </c>
      <c r="E328" s="4">
        <v>1</v>
      </c>
      <c r="F328" s="4">
        <v>2</v>
      </c>
      <c r="G328" s="4">
        <v>3</v>
      </c>
      <c r="H328" s="4">
        <v>4</v>
      </c>
      <c r="I328" s="4">
        <v>5</v>
      </c>
      <c r="J328" s="4">
        <v>6</v>
      </c>
      <c r="K328" s="4">
        <v>7</v>
      </c>
      <c r="L328" s="4">
        <v>8</v>
      </c>
      <c r="M328" s="4">
        <v>9</v>
      </c>
      <c r="N328" s="4">
        <v>10</v>
      </c>
      <c r="O328" s="4">
        <v>11</v>
      </c>
      <c r="P328" s="4">
        <v>12</v>
      </c>
      <c r="Q328" s="4">
        <v>13</v>
      </c>
      <c r="R328" s="4">
        <v>14</v>
      </c>
      <c r="S328" s="4">
        <v>15</v>
      </c>
      <c r="T328" s="4">
        <v>16</v>
      </c>
      <c r="U328" s="4">
        <v>17</v>
      </c>
      <c r="V328" s="4">
        <v>18</v>
      </c>
      <c r="W328" s="4">
        <v>19</v>
      </c>
      <c r="X328" s="4">
        <v>20</v>
      </c>
      <c r="Y328" s="4">
        <v>21</v>
      </c>
      <c r="Z328" s="4">
        <v>22</v>
      </c>
      <c r="AA328" s="4">
        <v>23</v>
      </c>
      <c r="AB328" s="4">
        <v>24</v>
      </c>
      <c r="AC328" s="4">
        <v>25</v>
      </c>
      <c r="AD328" s="4">
        <v>26</v>
      </c>
      <c r="AE328" s="4">
        <v>27</v>
      </c>
      <c r="AF328" s="4">
        <v>28</v>
      </c>
      <c r="AG328" s="4">
        <v>29</v>
      </c>
      <c r="AH328" s="4">
        <v>30</v>
      </c>
      <c r="AI328" s="4">
        <v>31</v>
      </c>
      <c r="AJ328" s="4">
        <v>32</v>
      </c>
      <c r="AK328" s="4">
        <v>33</v>
      </c>
      <c r="AL328" s="4">
        <v>34</v>
      </c>
      <c r="AM328" s="4">
        <v>35</v>
      </c>
      <c r="AN328" s="4">
        <v>36</v>
      </c>
      <c r="AO328" s="4">
        <v>37</v>
      </c>
      <c r="AP328" s="4">
        <v>38</v>
      </c>
      <c r="AQ328" s="4">
        <v>39</v>
      </c>
    </row>
    <row r="329" spans="3:43" s="4" customFormat="1" x14ac:dyDescent="0.4">
      <c r="C329" s="4" t="s">
        <v>19</v>
      </c>
      <c r="E329" s="4">
        <v>200014316.345741</v>
      </c>
      <c r="F329" s="4">
        <v>113241046.07247099</v>
      </c>
      <c r="G329" s="4">
        <v>93728034.3765807</v>
      </c>
      <c r="H329" s="4">
        <v>76624752.568851203</v>
      </c>
      <c r="I329" s="4">
        <v>63573102.566377498</v>
      </c>
      <c r="J329" s="4">
        <v>55585252.3208794</v>
      </c>
      <c r="K329" s="4">
        <v>50640355.802483603</v>
      </c>
      <c r="L329" s="4">
        <v>47447489.704544097</v>
      </c>
      <c r="M329" s="4">
        <v>45378175.329532497</v>
      </c>
      <c r="N329" s="4">
        <v>43708894.577277802</v>
      </c>
      <c r="O329" s="4">
        <v>42314118.0106242</v>
      </c>
      <c r="P329" s="4">
        <v>40870487.041631401</v>
      </c>
      <c r="Q329" s="4">
        <v>38844045.754510202</v>
      </c>
      <c r="R329" s="4">
        <v>36416691.089169003</v>
      </c>
      <c r="S329" s="4">
        <v>33632712.5601051</v>
      </c>
      <c r="T329" s="4">
        <v>30639524.411743399</v>
      </c>
      <c r="U329" s="4">
        <v>27231718.2586389</v>
      </c>
      <c r="V329" s="4">
        <v>23748243.973754801</v>
      </c>
      <c r="W329" s="4">
        <v>20411627.139575001</v>
      </c>
      <c r="X329" s="4">
        <v>17319349.162980899</v>
      </c>
      <c r="Y329" s="4">
        <v>14680458.185931699</v>
      </c>
      <c r="Z329" s="4">
        <v>12316906.7797284</v>
      </c>
      <c r="AA329" s="4">
        <v>10406157.1044113</v>
      </c>
      <c r="AB329" s="4">
        <v>8799958.6904633008</v>
      </c>
      <c r="AC329" s="4">
        <v>7447518.9165418399</v>
      </c>
      <c r="AD329" s="4">
        <v>6321843.1462913202</v>
      </c>
      <c r="AE329" s="4">
        <v>5349962.9350237399</v>
      </c>
      <c r="AF329" s="4">
        <v>4544954.7702630199</v>
      </c>
      <c r="AG329" s="4">
        <v>3892456.8240712499</v>
      </c>
      <c r="AH329" s="4">
        <v>3345322.7698580502</v>
      </c>
      <c r="AI329" s="4">
        <v>2917563.1218861099</v>
      </c>
      <c r="AJ329" s="4">
        <v>2554148.00649533</v>
      </c>
      <c r="AK329" s="4">
        <v>2228827.8623061501</v>
      </c>
      <c r="AL329" s="4">
        <v>1922114.2414069499</v>
      </c>
      <c r="AM329" s="4">
        <v>1616953.07513695</v>
      </c>
      <c r="AN329" s="4">
        <v>1361896.24525981</v>
      </c>
      <c r="AO329" s="4">
        <v>1142821.21330441</v>
      </c>
      <c r="AP329" s="4">
        <v>960205.22283292201</v>
      </c>
      <c r="AQ329" s="4">
        <v>800936.58683813596</v>
      </c>
    </row>
    <row r="330" spans="3:43" s="4" customFormat="1" x14ac:dyDescent="0.4">
      <c r="C330" s="4" t="s">
        <v>24</v>
      </c>
      <c r="E330" s="4">
        <v>195309182.42343301</v>
      </c>
      <c r="F330" s="4">
        <v>165217796.97383699</v>
      </c>
      <c r="G330" s="4">
        <v>135683892.51628301</v>
      </c>
      <c r="H330" s="4">
        <v>108737351.498779</v>
      </c>
      <c r="I330" s="4">
        <v>88196768.889854804</v>
      </c>
      <c r="J330" s="4">
        <v>72286979.593524307</v>
      </c>
      <c r="K330" s="4">
        <v>62510994.872419901</v>
      </c>
      <c r="L330" s="4">
        <v>55333760.7683907</v>
      </c>
      <c r="M330" s="4">
        <v>49902252.725084201</v>
      </c>
      <c r="N330" s="4">
        <v>45801937.588497698</v>
      </c>
      <c r="O330" s="4">
        <v>42492203.297827601</v>
      </c>
      <c r="P330" s="4">
        <v>39387005.302965999</v>
      </c>
      <c r="Q330" s="4">
        <v>36432464.788754404</v>
      </c>
      <c r="R330" s="4">
        <v>33363946.646190599</v>
      </c>
      <c r="S330" s="4">
        <v>30326193.311775502</v>
      </c>
      <c r="T330" s="4">
        <v>27155807.409063701</v>
      </c>
      <c r="U330" s="4">
        <v>23990304.9819328</v>
      </c>
      <c r="V330" s="4">
        <v>20916680.1735924</v>
      </c>
      <c r="W330" s="4">
        <v>18003089.863803301</v>
      </c>
      <c r="X330" s="4">
        <v>15389697.278467201</v>
      </c>
      <c r="Y330" s="4">
        <v>13005382.053244401</v>
      </c>
      <c r="Z330" s="4">
        <v>11022205.166618301</v>
      </c>
      <c r="AA330" s="4">
        <v>9340340.3618170209</v>
      </c>
      <c r="AB330" s="4">
        <v>7889088.9294533702</v>
      </c>
      <c r="AC330" s="4">
        <v>6612086.4485721402</v>
      </c>
      <c r="AD330" s="4">
        <v>5531107.8575177398</v>
      </c>
      <c r="AE330" s="4">
        <v>4632942.7608198104</v>
      </c>
      <c r="AF330" s="4">
        <v>3906348.6749809198</v>
      </c>
      <c r="AG330" s="4">
        <v>3303533.9516106299</v>
      </c>
      <c r="AH330" s="4">
        <v>2829186.8977345</v>
      </c>
      <c r="AI330" s="4">
        <v>2436795.5501209698</v>
      </c>
      <c r="AJ330" s="4">
        <v>2096581.22366945</v>
      </c>
      <c r="AK330" s="4">
        <v>1793211.5911960001</v>
      </c>
      <c r="AL330" s="4">
        <v>1529206.25150956</v>
      </c>
      <c r="AM330" s="4">
        <v>1304281.4872349</v>
      </c>
      <c r="AN330" s="4">
        <v>1101915.04605437</v>
      </c>
      <c r="AO330" s="4">
        <v>923691.47951303201</v>
      </c>
      <c r="AP330" s="4">
        <v>783404.05452998797</v>
      </c>
      <c r="AQ330" s="4">
        <v>659515.206881191</v>
      </c>
    </row>
    <row r="331" spans="3:43" s="4" customFormat="1" x14ac:dyDescent="0.4"/>
    <row r="332" spans="3:43" s="4" customFormat="1" x14ac:dyDescent="0.4">
      <c r="C332" s="5" t="s">
        <v>25</v>
      </c>
      <c r="D332" s="5">
        <v>0</v>
      </c>
      <c r="E332" s="5">
        <v>1</v>
      </c>
      <c r="F332" s="5">
        <v>2</v>
      </c>
      <c r="G332" s="5">
        <v>3</v>
      </c>
      <c r="H332" s="5">
        <v>4</v>
      </c>
      <c r="I332" s="5">
        <v>5</v>
      </c>
      <c r="J332" s="5">
        <v>6</v>
      </c>
      <c r="K332" s="5">
        <v>7</v>
      </c>
      <c r="L332" s="5">
        <v>8</v>
      </c>
      <c r="M332" s="5">
        <v>9</v>
      </c>
      <c r="N332" s="5">
        <v>10</v>
      </c>
      <c r="O332" s="5">
        <v>11</v>
      </c>
      <c r="P332" s="5">
        <v>12</v>
      </c>
      <c r="Q332" s="5">
        <v>13</v>
      </c>
      <c r="R332" s="5">
        <v>14</v>
      </c>
      <c r="S332" s="5">
        <v>15</v>
      </c>
      <c r="T332" s="5">
        <v>16</v>
      </c>
      <c r="U332" s="5">
        <v>17</v>
      </c>
      <c r="V332" s="5">
        <v>18</v>
      </c>
      <c r="W332" s="5">
        <v>19</v>
      </c>
      <c r="X332" s="5">
        <v>20</v>
      </c>
      <c r="Y332" s="5">
        <v>21</v>
      </c>
      <c r="Z332" s="5">
        <v>22</v>
      </c>
      <c r="AA332" s="5">
        <v>23</v>
      </c>
      <c r="AB332" s="5">
        <v>24</v>
      </c>
      <c r="AC332" s="5">
        <v>25</v>
      </c>
      <c r="AD332" s="5">
        <v>26</v>
      </c>
      <c r="AE332" s="5">
        <v>27</v>
      </c>
      <c r="AF332" s="5">
        <v>28</v>
      </c>
      <c r="AG332" s="5">
        <v>29</v>
      </c>
      <c r="AH332" s="5">
        <v>30</v>
      </c>
      <c r="AI332" s="5">
        <v>31</v>
      </c>
      <c r="AJ332" s="5">
        <v>32</v>
      </c>
      <c r="AK332" s="5">
        <v>33</v>
      </c>
      <c r="AL332" s="5">
        <v>34</v>
      </c>
      <c r="AM332" s="5">
        <v>35</v>
      </c>
      <c r="AN332" s="5">
        <v>36</v>
      </c>
      <c r="AO332" s="5">
        <v>37</v>
      </c>
      <c r="AP332" s="5">
        <v>38</v>
      </c>
      <c r="AQ332" s="5">
        <v>39</v>
      </c>
    </row>
    <row r="333" spans="3:43" s="4" customFormat="1" x14ac:dyDescent="0.4">
      <c r="C333" s="5" t="s">
        <v>19</v>
      </c>
      <c r="D333" s="5"/>
      <c r="E333" s="6" t="e">
        <f t="shared" ref="E333:AQ333" si="0">+E329/D$324</f>
        <v>#VALUE!</v>
      </c>
      <c r="F333" s="6">
        <f t="shared" si="0"/>
        <v>2.4599420590054565E-2</v>
      </c>
      <c r="G333" s="6">
        <f t="shared" si="0"/>
        <v>2.2996207191176878E-2</v>
      </c>
      <c r="H333" s="6">
        <f t="shared" si="0"/>
        <v>2.1393987069582104E-2</v>
      </c>
      <c r="I333" s="6">
        <f t="shared" si="0"/>
        <v>1.9945223644041811E-2</v>
      </c>
      <c r="J333" s="6">
        <f t="shared" si="0"/>
        <v>1.9561560817540086E-2</v>
      </c>
      <c r="K333" s="6">
        <f t="shared" si="0"/>
        <v>1.9593257188767196E-2</v>
      </c>
      <c r="L333" s="6">
        <f t="shared" si="0"/>
        <v>2.0117335457318957E-2</v>
      </c>
      <c r="M333" s="6">
        <f t="shared" si="0"/>
        <v>2.1022360750474884E-2</v>
      </c>
      <c r="N333" s="6">
        <f t="shared" si="0"/>
        <v>2.2157761367746505E-2</v>
      </c>
      <c r="O333" s="6">
        <f t="shared" si="0"/>
        <v>2.358742901437055E-2</v>
      </c>
      <c r="P333" s="6">
        <f t="shared" si="0"/>
        <v>2.5015641524854675E-2</v>
      </c>
      <c r="Q333" s="6">
        <f t="shared" si="0"/>
        <v>2.6400932945602529E-2</v>
      </c>
      <c r="R333" s="6">
        <f t="shared" si="0"/>
        <v>2.7705083931657624E-2</v>
      </c>
      <c r="S333" s="6">
        <f t="shared" si="0"/>
        <v>2.8823899707663758E-2</v>
      </c>
      <c r="T333" s="6">
        <f t="shared" si="0"/>
        <v>2.9609703477238045E-2</v>
      </c>
      <c r="U333" s="6">
        <f t="shared" si="0"/>
        <v>2.9904968194818877E-2</v>
      </c>
      <c r="V333" s="6">
        <f t="shared" si="0"/>
        <v>2.992432911165404E-2</v>
      </c>
      <c r="W333" s="6">
        <f t="shared" si="0"/>
        <v>2.9500139524921969E-2</v>
      </c>
      <c r="X333" s="6">
        <f t="shared" si="0"/>
        <v>2.8796770656916632E-2</v>
      </c>
      <c r="Y333" s="6">
        <f t="shared" si="0"/>
        <v>2.7962290448852758E-2</v>
      </c>
      <c r="Z333" s="6">
        <f t="shared" si="0"/>
        <v>2.6822662054991533E-2</v>
      </c>
      <c r="AA333" s="6">
        <f t="shared" si="0"/>
        <v>2.5831238080583178E-2</v>
      </c>
      <c r="AB333" s="6">
        <f t="shared" si="0"/>
        <v>2.4735465066506718E-2</v>
      </c>
      <c r="AC333" s="6">
        <f t="shared" si="0"/>
        <v>2.4132926087950122E-2</v>
      </c>
      <c r="AD333" s="6">
        <f t="shared" si="0"/>
        <v>2.3245128852141847E-2</v>
      </c>
      <c r="AE333" s="6">
        <f t="shared" si="0"/>
        <v>2.2464519708280849E-2</v>
      </c>
      <c r="AF333" s="6">
        <f t="shared" si="0"/>
        <v>2.1775567222362756E-2</v>
      </c>
      <c r="AG333" s="6">
        <f t="shared" si="0"/>
        <v>2.1262033544006107E-2</v>
      </c>
      <c r="AH333" s="6">
        <f t="shared" si="0"/>
        <v>2.0913987539952623E-2</v>
      </c>
      <c r="AI333" s="6">
        <f t="shared" si="0"/>
        <v>2.0844317575762002E-2</v>
      </c>
      <c r="AJ333" s="6">
        <f t="shared" si="0"/>
        <v>2.074030310646165E-2</v>
      </c>
      <c r="AK333" s="6">
        <f t="shared" si="0"/>
        <v>2.0546411577183302E-2</v>
      </c>
      <c r="AL333" s="6">
        <f t="shared" si="0"/>
        <v>2.0144619930743887E-2</v>
      </c>
      <c r="AM333" s="6">
        <f t="shared" si="0"/>
        <v>1.9360237607303949E-2</v>
      </c>
      <c r="AN333" s="6">
        <f t="shared" si="0"/>
        <v>1.8611768951947234E-2</v>
      </c>
      <c r="AO333" s="6">
        <f t="shared" si="0"/>
        <v>1.7918056523124691E-2</v>
      </c>
      <c r="AP333" s="6">
        <f t="shared" si="0"/>
        <v>1.7210259777803147E-2</v>
      </c>
      <c r="AQ333" s="6">
        <f t="shared" si="0"/>
        <v>1.6367515168769841E-2</v>
      </c>
    </row>
    <row r="334" spans="3:43" s="4" customFormat="1" x14ac:dyDescent="0.4">
      <c r="C334" s="5" t="s">
        <v>24</v>
      </c>
      <c r="D334" s="5"/>
      <c r="E334" s="6">
        <f t="shared" ref="E334:AQ334" si="1">+E330/D$325</f>
        <v>3.7081951199471969E-2</v>
      </c>
      <c r="F334" s="6">
        <f t="shared" si="1"/>
        <v>3.6951942703664212E-2</v>
      </c>
      <c r="G334" s="6">
        <f>+G330/F$325</f>
        <v>3.4979250474844452E-2</v>
      </c>
      <c r="H334" s="6">
        <f t="shared" si="1"/>
        <v>3.246610394578104E-2</v>
      </c>
      <c r="I334" s="6">
        <f t="shared" si="1"/>
        <v>3.0278547364299961E-2</v>
      </c>
      <c r="J334" s="6">
        <f t="shared" si="1"/>
        <v>2.8273962692789281E-2</v>
      </c>
      <c r="K334" s="6">
        <f t="shared" si="1"/>
        <v>2.7524614724889575E-2</v>
      </c>
      <c r="L334" s="6">
        <f t="shared" si="1"/>
        <v>2.7024305205464175E-2</v>
      </c>
      <c r="M334" s="6">
        <f t="shared" si="1"/>
        <v>2.696064000257967E-2</v>
      </c>
      <c r="N334" s="6">
        <f t="shared" si="1"/>
        <v>2.7365600643764417E-2</v>
      </c>
      <c r="O334" s="6">
        <f t="shared" si="1"/>
        <v>2.7924906341577738E-2</v>
      </c>
      <c r="P334" s="6">
        <f t="shared" si="1"/>
        <v>2.8651061672159747E-2</v>
      </c>
      <c r="Q334" s="6">
        <f t="shared" si="1"/>
        <v>2.9479442479240399E-2</v>
      </c>
      <c r="R334" s="6">
        <f t="shared" si="1"/>
        <v>3.0221596836228062E-2</v>
      </c>
      <c r="S334" s="6">
        <f t="shared" si="1"/>
        <v>3.0905498972704882E-2</v>
      </c>
      <c r="T334" s="6">
        <f t="shared" si="1"/>
        <v>3.1430108659090329E-2</v>
      </c>
      <c r="U334" s="6">
        <f t="shared" si="1"/>
        <v>3.186272008017825E-2</v>
      </c>
      <c r="V334" s="6">
        <f t="shared" si="1"/>
        <v>3.1956156013115723E-2</v>
      </c>
      <c r="W334" s="6">
        <f t="shared" si="1"/>
        <v>3.1648610198491765E-2</v>
      </c>
      <c r="X334" s="6">
        <f t="shared" si="1"/>
        <v>3.1134840882477421E-2</v>
      </c>
      <c r="Y334" s="6">
        <f t="shared" si="1"/>
        <v>3.0345822611882033E-2</v>
      </c>
      <c r="Z334" s="6">
        <f t="shared" si="1"/>
        <v>2.9595597398470851E-2</v>
      </c>
      <c r="AA334" s="6">
        <f t="shared" si="1"/>
        <v>2.8566729050220438E-2</v>
      </c>
      <c r="AB334" s="6">
        <f t="shared" si="1"/>
        <v>2.7378827492524578E-2</v>
      </c>
      <c r="AC334" s="6">
        <f t="shared" si="1"/>
        <v>2.5989113672064922E-2</v>
      </c>
      <c r="AD334" s="6">
        <f t="shared" si="1"/>
        <v>2.474318024076385E-2</v>
      </c>
      <c r="AE334" s="6">
        <f t="shared" si="1"/>
        <v>2.3489741399562256E-2</v>
      </c>
      <c r="AF334" s="6">
        <f t="shared" si="1"/>
        <v>2.2484326776669807E-2</v>
      </c>
      <c r="AG334" s="6">
        <f t="shared" si="1"/>
        <v>2.1365158500323746E-2</v>
      </c>
      <c r="AH334" s="6">
        <f t="shared" si="1"/>
        <v>2.1344931460317892E-2</v>
      </c>
      <c r="AI334" s="6">
        <f t="shared" si="1"/>
        <v>2.0649868577250027E-2</v>
      </c>
      <c r="AJ334" s="6">
        <f t="shared" si="1"/>
        <v>2.0036341807178504E-2</v>
      </c>
      <c r="AK334" s="6">
        <f t="shared" si="1"/>
        <v>1.9214989453974873E-2</v>
      </c>
      <c r="AL334" s="6">
        <f t="shared" si="1"/>
        <v>1.8431465740234968E-2</v>
      </c>
      <c r="AM334" s="6">
        <f t="shared" si="1"/>
        <v>1.7822594716801452E-2</v>
      </c>
      <c r="AN334" s="6">
        <f t="shared" si="1"/>
        <v>1.7301672715936457E-2</v>
      </c>
      <c r="AO334" s="6">
        <f t="shared" si="1"/>
        <v>1.7075586602003548E-2</v>
      </c>
      <c r="AP334" s="6">
        <f t="shared" si="1"/>
        <v>1.671679192549301E-2</v>
      </c>
      <c r="AQ334" s="6">
        <f t="shared" si="1"/>
        <v>1.6468537743217038E-2</v>
      </c>
    </row>
    <row r="335" spans="3:43" s="4" customFormat="1" x14ac:dyDescent="0.4"/>
    <row r="336" spans="3:43" s="4" customFormat="1" x14ac:dyDescent="0.4"/>
    <row r="337" spans="3:43" s="4" customFormat="1" x14ac:dyDescent="0.4">
      <c r="C337" s="4" t="s">
        <v>10</v>
      </c>
      <c r="D337" s="4">
        <v>0</v>
      </c>
      <c r="E337" s="4">
        <v>1</v>
      </c>
      <c r="F337" s="4">
        <v>2</v>
      </c>
      <c r="G337" s="4">
        <v>3</v>
      </c>
      <c r="H337" s="4">
        <v>4</v>
      </c>
      <c r="I337" s="4">
        <v>5</v>
      </c>
      <c r="J337" s="4">
        <v>6</v>
      </c>
      <c r="K337" s="4">
        <v>7</v>
      </c>
      <c r="L337" s="4">
        <v>8</v>
      </c>
      <c r="M337" s="4">
        <v>9</v>
      </c>
      <c r="N337" s="4">
        <v>10</v>
      </c>
      <c r="O337" s="4">
        <v>11</v>
      </c>
      <c r="P337" s="4">
        <v>12</v>
      </c>
      <c r="Q337" s="4">
        <v>13</v>
      </c>
      <c r="R337" s="4">
        <v>14</v>
      </c>
      <c r="S337" s="4">
        <v>15</v>
      </c>
      <c r="T337" s="4">
        <v>16</v>
      </c>
      <c r="U337" s="4">
        <v>17</v>
      </c>
      <c r="V337" s="4">
        <v>18</v>
      </c>
      <c r="W337" s="4">
        <v>19</v>
      </c>
      <c r="X337" s="4">
        <v>20</v>
      </c>
      <c r="Y337" s="4">
        <v>21</v>
      </c>
      <c r="Z337" s="4">
        <v>22</v>
      </c>
      <c r="AA337" s="4">
        <v>23</v>
      </c>
      <c r="AB337" s="4">
        <v>24</v>
      </c>
      <c r="AC337" s="4">
        <v>25</v>
      </c>
      <c r="AD337" s="4">
        <v>26</v>
      </c>
      <c r="AE337" s="4">
        <v>27</v>
      </c>
      <c r="AF337" s="4">
        <v>28</v>
      </c>
      <c r="AG337" s="4">
        <v>29</v>
      </c>
      <c r="AH337" s="4">
        <v>30</v>
      </c>
      <c r="AI337" s="4">
        <v>31</v>
      </c>
      <c r="AJ337" s="4">
        <v>32</v>
      </c>
      <c r="AK337" s="4">
        <v>33</v>
      </c>
      <c r="AL337" s="4">
        <v>34</v>
      </c>
      <c r="AM337" s="4">
        <v>35</v>
      </c>
      <c r="AN337" s="4">
        <v>36</v>
      </c>
      <c r="AO337" s="4">
        <v>37</v>
      </c>
      <c r="AP337" s="4">
        <v>38</v>
      </c>
      <c r="AQ337" s="4">
        <v>39</v>
      </c>
    </row>
    <row r="338" spans="3:43" s="4" customFormat="1" x14ac:dyDescent="0.4">
      <c r="C338" s="4" t="s">
        <v>19</v>
      </c>
      <c r="E338" s="4">
        <v>751575561.87565899</v>
      </c>
      <c r="F338" s="4">
        <v>409695180.97959</v>
      </c>
      <c r="G338" s="4">
        <v>332993312.27944303</v>
      </c>
      <c r="H338" s="4">
        <v>253187890.32273</v>
      </c>
      <c r="I338" s="4">
        <v>172892303.36065501</v>
      </c>
      <c r="J338" s="4">
        <v>132552047.01966301</v>
      </c>
      <c r="K338" s="4">
        <v>111605788.565055</v>
      </c>
      <c r="L338" s="4">
        <v>98069861.731324002</v>
      </c>
      <c r="M338" s="4">
        <v>89573269.830146104</v>
      </c>
      <c r="N338" s="4">
        <v>83839457.668283597</v>
      </c>
      <c r="O338" s="4">
        <v>79913268.276801705</v>
      </c>
      <c r="P338" s="4">
        <v>76690206.164350003</v>
      </c>
      <c r="Q338" s="4">
        <v>72777797.284314394</v>
      </c>
      <c r="R338" s="4">
        <v>68200696.1685047</v>
      </c>
      <c r="S338" s="4">
        <v>62816571.2221433</v>
      </c>
      <c r="T338" s="4">
        <v>56882433.102975003</v>
      </c>
      <c r="U338" s="4">
        <v>50005550.0207536</v>
      </c>
      <c r="V338" s="4">
        <v>42900980.395357497</v>
      </c>
      <c r="W338" s="4">
        <v>36098991.196822301</v>
      </c>
      <c r="X338" s="4">
        <v>29834782.8267712</v>
      </c>
      <c r="Y338" s="4">
        <v>24565380.969221301</v>
      </c>
      <c r="Z338" s="4">
        <v>19983030.718212701</v>
      </c>
      <c r="AA338" s="4">
        <v>16384038.914849101</v>
      </c>
      <c r="AB338" s="4">
        <v>13490672.2774489</v>
      </c>
      <c r="AC338" s="4">
        <v>11155547.2691369</v>
      </c>
      <c r="AD338" s="4">
        <v>9260537.3383734804</v>
      </c>
      <c r="AE338" s="4">
        <v>7685841.2019543201</v>
      </c>
      <c r="AF338" s="4">
        <v>6420825.4636753099</v>
      </c>
      <c r="AG338" s="4">
        <v>5429198.3205342405</v>
      </c>
      <c r="AH338" s="4">
        <v>4620444.8996108798</v>
      </c>
      <c r="AI338" s="4">
        <v>4004928.9840642498</v>
      </c>
      <c r="AJ338" s="4">
        <v>3489895.9469354898</v>
      </c>
      <c r="AK338" s="4">
        <v>3027419.9827624899</v>
      </c>
      <c r="AL338" s="4">
        <v>2598429.1951351101</v>
      </c>
      <c r="AM338" s="4">
        <v>2176900.3907631198</v>
      </c>
      <c r="AN338" s="4">
        <v>1819789.0973728099</v>
      </c>
      <c r="AO338" s="4">
        <v>1508986.4904028701</v>
      </c>
      <c r="AP338" s="4">
        <v>1241727.7091930399</v>
      </c>
      <c r="AQ338" s="4">
        <v>1022569.98666233</v>
      </c>
    </row>
    <row r="339" spans="3:43" s="4" customFormat="1" x14ac:dyDescent="0.4">
      <c r="C339" s="4" t="s">
        <v>24</v>
      </c>
      <c r="E339" s="4">
        <v>925242925.24682796</v>
      </c>
      <c r="F339" s="4">
        <v>586602983.492746</v>
      </c>
      <c r="G339" s="4">
        <v>480152808.78771597</v>
      </c>
      <c r="H339" s="4">
        <v>363774409.54433501</v>
      </c>
      <c r="I339" s="4">
        <v>269533666.96334898</v>
      </c>
      <c r="J339" s="4">
        <v>202087883.10875499</v>
      </c>
      <c r="K339" s="4">
        <v>164351829.91080499</v>
      </c>
      <c r="L339" s="4">
        <v>137339764.265066</v>
      </c>
      <c r="M339" s="4">
        <v>117667197.88932399</v>
      </c>
      <c r="N339" s="4">
        <v>103397095.689908</v>
      </c>
      <c r="O339" s="4">
        <v>92766989.662353605</v>
      </c>
      <c r="P339" s="4">
        <v>84034848.594404295</v>
      </c>
      <c r="Q339" s="4">
        <v>76587446.473640397</v>
      </c>
      <c r="R339" s="4">
        <v>69547204.4176597</v>
      </c>
      <c r="S339" s="4">
        <v>62822873.885304503</v>
      </c>
      <c r="T339" s="4">
        <v>55910041.444325604</v>
      </c>
      <c r="U339" s="4">
        <v>49019644.359373301</v>
      </c>
      <c r="V339" s="4">
        <v>42304336.483364001</v>
      </c>
      <c r="W339" s="4">
        <v>35934310.680578098</v>
      </c>
      <c r="X339" s="4">
        <v>30241288.9993333</v>
      </c>
      <c r="Y339" s="4">
        <v>25120162.001959302</v>
      </c>
      <c r="Z339" s="4">
        <v>20929148.240370501</v>
      </c>
      <c r="AA339" s="4">
        <v>17462660.956345901</v>
      </c>
      <c r="AB339" s="4">
        <v>14576147.931658801</v>
      </c>
      <c r="AC339" s="4">
        <v>12121364.9479609</v>
      </c>
      <c r="AD339" s="4">
        <v>10109467.151569501</v>
      </c>
      <c r="AE339" s="4">
        <v>8482783.0068902001</v>
      </c>
      <c r="AF339" s="4">
        <v>7160213.2544531999</v>
      </c>
      <c r="AG339" s="4">
        <v>6053334.3100255197</v>
      </c>
      <c r="AH339" s="4">
        <v>5192208.4774910295</v>
      </c>
      <c r="AI339" s="4">
        <v>4483207.9117347198</v>
      </c>
      <c r="AJ339" s="4">
        <v>3879611.8432058799</v>
      </c>
      <c r="AK339" s="4">
        <v>3293820.1841626</v>
      </c>
      <c r="AL339" s="4">
        <v>2782730.76610407</v>
      </c>
      <c r="AM339" s="4">
        <v>2353701.4816260799</v>
      </c>
      <c r="AN339" s="4">
        <v>1951726.5051166499</v>
      </c>
      <c r="AO339" s="4">
        <v>1590515.8135895701</v>
      </c>
      <c r="AP339" s="4">
        <v>1336433.6902067901</v>
      </c>
      <c r="AQ339" s="4">
        <v>1093493.1990616</v>
      </c>
    </row>
    <row r="340" spans="3:43" s="4" customFormat="1" x14ac:dyDescent="0.4"/>
    <row r="341" spans="3:43" s="4" customFormat="1" x14ac:dyDescent="0.4">
      <c r="C341" s="5" t="s">
        <v>26</v>
      </c>
      <c r="D341" s="5">
        <v>0</v>
      </c>
      <c r="E341" s="5">
        <v>1</v>
      </c>
      <c r="F341" s="5">
        <v>2</v>
      </c>
      <c r="G341" s="5">
        <v>3</v>
      </c>
      <c r="H341" s="5">
        <v>4</v>
      </c>
      <c r="I341" s="5">
        <v>5</v>
      </c>
      <c r="J341" s="5">
        <v>6</v>
      </c>
      <c r="K341" s="5">
        <v>7</v>
      </c>
      <c r="L341" s="5">
        <v>8</v>
      </c>
      <c r="M341" s="5">
        <v>9</v>
      </c>
      <c r="N341" s="5">
        <v>10</v>
      </c>
      <c r="O341" s="5">
        <v>11</v>
      </c>
      <c r="P341" s="5">
        <v>12</v>
      </c>
      <c r="Q341" s="5">
        <v>13</v>
      </c>
      <c r="R341" s="5">
        <v>14</v>
      </c>
      <c r="S341" s="5">
        <v>15</v>
      </c>
      <c r="T341" s="5">
        <v>16</v>
      </c>
      <c r="U341" s="5">
        <v>17</v>
      </c>
      <c r="V341" s="5">
        <v>18</v>
      </c>
      <c r="W341" s="5">
        <v>19</v>
      </c>
      <c r="X341" s="5">
        <v>20</v>
      </c>
      <c r="Y341" s="5">
        <v>21</v>
      </c>
      <c r="Z341" s="5">
        <v>22</v>
      </c>
      <c r="AA341" s="5">
        <v>23</v>
      </c>
      <c r="AB341" s="5">
        <v>24</v>
      </c>
      <c r="AC341" s="5">
        <v>25</v>
      </c>
      <c r="AD341" s="5">
        <v>26</v>
      </c>
      <c r="AE341" s="5">
        <v>27</v>
      </c>
      <c r="AF341" s="5">
        <v>28</v>
      </c>
      <c r="AG341" s="5">
        <v>29</v>
      </c>
      <c r="AH341" s="5">
        <v>30</v>
      </c>
      <c r="AI341" s="5">
        <v>31</v>
      </c>
      <c r="AJ341" s="5">
        <v>32</v>
      </c>
      <c r="AK341" s="5">
        <v>33</v>
      </c>
      <c r="AL341" s="5">
        <v>34</v>
      </c>
      <c r="AM341" s="5">
        <v>35</v>
      </c>
      <c r="AN341" s="5">
        <v>36</v>
      </c>
      <c r="AO341" s="5">
        <v>37</v>
      </c>
      <c r="AP341" s="5">
        <v>38</v>
      </c>
      <c r="AQ341" s="5">
        <v>39</v>
      </c>
    </row>
    <row r="342" spans="3:43" s="4" customFormat="1" x14ac:dyDescent="0.4">
      <c r="C342" s="5" t="s">
        <v>19</v>
      </c>
      <c r="D342" s="5"/>
      <c r="E342" s="6" t="e">
        <f t="shared" ref="E342:AQ342" si="2">+E338/D$324</f>
        <v>#VALUE!</v>
      </c>
      <c r="F342" s="6">
        <f t="shared" si="2"/>
        <v>8.8998330730587383E-2</v>
      </c>
      <c r="G342" s="6">
        <f t="shared" si="2"/>
        <v>8.170002980845284E-2</v>
      </c>
      <c r="H342" s="6">
        <f t="shared" si="2"/>
        <v>7.0691235797102001E-2</v>
      </c>
      <c r="I342" s="6">
        <f t="shared" si="2"/>
        <v>5.4242683110538648E-2</v>
      </c>
      <c r="J342" s="6">
        <f t="shared" si="2"/>
        <v>4.6647713575109474E-2</v>
      </c>
      <c r="K342" s="6">
        <f t="shared" si="2"/>
        <v>4.3181389318023913E-2</v>
      </c>
      <c r="L342" s="6">
        <f t="shared" si="2"/>
        <v>4.1580794241955113E-2</v>
      </c>
      <c r="M342" s="6">
        <f t="shared" si="2"/>
        <v>4.1496635294267996E-2</v>
      </c>
      <c r="N342" s="6">
        <f t="shared" si="2"/>
        <v>4.2501525471679187E-2</v>
      </c>
      <c r="O342" s="6">
        <f t="shared" si="2"/>
        <v>4.4546563449866509E-2</v>
      </c>
      <c r="P342" s="6">
        <f t="shared" si="2"/>
        <v>4.6939854274807347E-2</v>
      </c>
      <c r="Q342" s="6">
        <f t="shared" si="2"/>
        <v>4.9464511451121004E-2</v>
      </c>
      <c r="R342" s="6">
        <f t="shared" si="2"/>
        <v>5.1885713804126411E-2</v>
      </c>
      <c r="S342" s="6">
        <f t="shared" si="2"/>
        <v>5.3835043654317655E-2</v>
      </c>
      <c r="T342" s="6">
        <f t="shared" si="2"/>
        <v>5.4970565293675978E-2</v>
      </c>
      <c r="U342" s="6">
        <f t="shared" si="2"/>
        <v>5.491443355619547E-2</v>
      </c>
      <c r="V342" s="6">
        <f t="shared" si="2"/>
        <v>5.40580203732983E-2</v>
      </c>
      <c r="W342" s="6">
        <f t="shared" si="2"/>
        <v>5.217248334653643E-2</v>
      </c>
      <c r="X342" s="6">
        <f t="shared" si="2"/>
        <v>4.9606101856172424E-2</v>
      </c>
      <c r="Y342" s="6">
        <f t="shared" si="2"/>
        <v>4.6790386849529485E-2</v>
      </c>
      <c r="Z342" s="6">
        <f t="shared" si="2"/>
        <v>4.3517263658380413E-2</v>
      </c>
      <c r="AA342" s="6">
        <f t="shared" si="2"/>
        <v>4.0670153802655783E-2</v>
      </c>
      <c r="AB342" s="6">
        <f t="shared" si="2"/>
        <v>3.7920411286039721E-2</v>
      </c>
      <c r="AC342" s="6">
        <f t="shared" si="2"/>
        <v>3.6148414087106694E-2</v>
      </c>
      <c r="AD342" s="6">
        <f t="shared" si="2"/>
        <v>3.4050573335854581E-2</v>
      </c>
      <c r="AE342" s="6">
        <f t="shared" si="2"/>
        <v>3.2272883616763531E-2</v>
      </c>
      <c r="AF342" s="6">
        <f t="shared" si="2"/>
        <v>3.0763148056417049E-2</v>
      </c>
      <c r="AG342" s="6">
        <f t="shared" si="2"/>
        <v>2.9656281887161049E-2</v>
      </c>
      <c r="AH342" s="6">
        <f t="shared" si="2"/>
        <v>2.8885681205464041E-2</v>
      </c>
      <c r="AI342" s="6">
        <f t="shared" si="2"/>
        <v>2.8612923911048745E-2</v>
      </c>
      <c r="AJ342" s="6">
        <f t="shared" si="2"/>
        <v>2.8338804002502667E-2</v>
      </c>
      <c r="AK342" s="6">
        <f t="shared" si="2"/>
        <v>2.7908219398543748E-2</v>
      </c>
      <c r="AL342" s="6">
        <f t="shared" si="2"/>
        <v>2.7232704188607688E-2</v>
      </c>
      <c r="AM342" s="6">
        <f t="shared" si="2"/>
        <v>2.606464557361212E-2</v>
      </c>
      <c r="AN342" s="6">
        <f t="shared" si="2"/>
        <v>2.4869364563901881E-2</v>
      </c>
      <c r="AO342" s="6">
        <f t="shared" si="2"/>
        <v>2.3659085877038338E-2</v>
      </c>
      <c r="AP342" s="6">
        <f t="shared" si="2"/>
        <v>2.2256134355798152E-2</v>
      </c>
      <c r="AQ342" s="6">
        <f t="shared" si="2"/>
        <v>2.0896697744695342E-2</v>
      </c>
    </row>
    <row r="343" spans="3:43" s="4" customFormat="1" x14ac:dyDescent="0.4">
      <c r="C343" s="5" t="s">
        <v>24</v>
      </c>
      <c r="D343" s="5"/>
      <c r="E343" s="6">
        <f t="shared" ref="E343:AQ343" si="3">+E339/D$325</f>
        <v>0.17566922648457672</v>
      </c>
      <c r="F343" s="6">
        <f t="shared" si="3"/>
        <v>0.1311972452898337</v>
      </c>
      <c r="G343" s="6">
        <f t="shared" si="3"/>
        <v>0.12378319234001965</v>
      </c>
      <c r="H343" s="6">
        <f t="shared" si="3"/>
        <v>0.10861343991088582</v>
      </c>
      <c r="I343" s="6">
        <f t="shared" si="3"/>
        <v>9.2532731120969408E-2</v>
      </c>
      <c r="J343" s="6">
        <f t="shared" si="3"/>
        <v>7.9043629984417857E-2</v>
      </c>
      <c r="K343" s="6">
        <f t="shared" si="3"/>
        <v>7.2366802141896058E-2</v>
      </c>
      <c r="L343" s="6">
        <f t="shared" si="3"/>
        <v>6.707499462906269E-2</v>
      </c>
      <c r="M343" s="6">
        <f t="shared" si="3"/>
        <v>6.3571938923945914E-2</v>
      </c>
      <c r="N343" s="6">
        <f t="shared" si="3"/>
        <v>6.1777378367628255E-2</v>
      </c>
      <c r="O343" s="6">
        <f t="shared" si="3"/>
        <v>6.0964348677202469E-2</v>
      </c>
      <c r="P343" s="6">
        <f t="shared" si="3"/>
        <v>6.1128984322846594E-2</v>
      </c>
      <c r="Q343" s="6">
        <f t="shared" si="3"/>
        <v>6.1970971111690622E-2</v>
      </c>
      <c r="R343" s="6">
        <f t="shared" si="3"/>
        <v>6.2996970810622957E-2</v>
      </c>
      <c r="S343" s="6">
        <f t="shared" si="3"/>
        <v>6.4022946908102188E-2</v>
      </c>
      <c r="T343" s="6">
        <f t="shared" si="3"/>
        <v>6.4710234951175977E-2</v>
      </c>
      <c r="U343" s="6">
        <f t="shared" si="3"/>
        <v>6.5105433541960925E-2</v>
      </c>
      <c r="V343" s="6">
        <f t="shared" si="3"/>
        <v>6.4631861532237586E-2</v>
      </c>
      <c r="W343" s="6">
        <f t="shared" si="3"/>
        <v>6.3170877892893981E-2</v>
      </c>
      <c r="X343" s="6">
        <f t="shared" si="3"/>
        <v>6.1181042358296168E-2</v>
      </c>
      <c r="Y343" s="6">
        <f t="shared" si="3"/>
        <v>5.8613578361047108E-2</v>
      </c>
      <c r="Z343" s="6">
        <f t="shared" si="3"/>
        <v>5.6196617269551344E-2</v>
      </c>
      <c r="AA343" s="6">
        <f t="shared" si="3"/>
        <v>5.3408236178960053E-2</v>
      </c>
      <c r="AB343" s="6">
        <f t="shared" si="3"/>
        <v>5.0586049072976681E-2</v>
      </c>
      <c r="AC343" s="6">
        <f t="shared" si="3"/>
        <v>4.7643589348588672E-2</v>
      </c>
      <c r="AD343" s="6">
        <f t="shared" si="3"/>
        <v>4.5224279531880997E-2</v>
      </c>
      <c r="AE343" s="6">
        <f t="shared" si="3"/>
        <v>4.300903107751599E-2</v>
      </c>
      <c r="AF343" s="6">
        <f t="shared" si="3"/>
        <v>4.1213058023949818E-2</v>
      </c>
      <c r="AG343" s="6">
        <f t="shared" si="3"/>
        <v>3.9149119967751014E-2</v>
      </c>
      <c r="AH343" s="6">
        <f t="shared" si="3"/>
        <v>3.9172857109042052E-2</v>
      </c>
      <c r="AI343" s="6">
        <f t="shared" si="3"/>
        <v>3.7991555827165589E-2</v>
      </c>
      <c r="AJ343" s="6">
        <f t="shared" si="3"/>
        <v>3.7076182926794328E-2</v>
      </c>
      <c r="AK343" s="6">
        <f t="shared" si="3"/>
        <v>3.5294619113944922E-2</v>
      </c>
      <c r="AL343" s="6">
        <f t="shared" si="3"/>
        <v>3.354014981897576E-2</v>
      </c>
      <c r="AM343" s="6">
        <f t="shared" si="3"/>
        <v>3.2162587602381366E-2</v>
      </c>
      <c r="AN343" s="6">
        <f t="shared" si="3"/>
        <v>3.0644951571775336E-2</v>
      </c>
      <c r="AO343" s="6">
        <f t="shared" si="3"/>
        <v>2.9402664330218774E-2</v>
      </c>
      <c r="AP343" s="6">
        <f t="shared" si="3"/>
        <v>2.8517702700440271E-2</v>
      </c>
      <c r="AQ343" s="6">
        <f t="shared" si="3"/>
        <v>2.7305259731397233E-2</v>
      </c>
    </row>
    <row r="344" spans="3:43" s="4" customFormat="1" x14ac:dyDescent="0.4"/>
    <row r="345" spans="3:43" s="4" customFormat="1" x14ac:dyDescent="0.4"/>
    <row r="346" spans="3:43" s="4" customFormat="1" x14ac:dyDescent="0.4"/>
    <row r="347" spans="3:43" s="4" customFormat="1" x14ac:dyDescent="0.4"/>
    <row r="348" spans="3:43" s="4" customFormat="1" x14ac:dyDescent="0.4"/>
    <row r="349" spans="3:43" s="4" customFormat="1" x14ac:dyDescent="0.4"/>
    <row r="350" spans="3:43" s="4" customFormat="1" x14ac:dyDescent="0.4"/>
    <row r="351" spans="3:43" s="4" customFormat="1" x14ac:dyDescent="0.4"/>
    <row r="352" spans="3:43" s="4" customFormat="1" x14ac:dyDescent="0.4"/>
    <row r="353" s="4" customFormat="1" x14ac:dyDescent="0.4"/>
    <row r="354" s="4" customFormat="1" x14ac:dyDescent="0.4"/>
    <row r="355" s="4" customFormat="1" x14ac:dyDescent="0.4"/>
    <row r="356" s="4" customFormat="1" x14ac:dyDescent="0.4"/>
    <row r="357" s="4" customFormat="1" x14ac:dyDescent="0.4"/>
    <row r="358" s="4" customFormat="1" x14ac:dyDescent="0.4"/>
    <row r="359" s="4" customFormat="1" x14ac:dyDescent="0.4"/>
    <row r="360" s="4" customFormat="1" x14ac:dyDescent="0.4"/>
    <row r="361" s="4" customFormat="1" x14ac:dyDescent="0.4"/>
    <row r="362" s="4" customFormat="1" x14ac:dyDescent="0.4"/>
    <row r="363" s="4" customFormat="1" x14ac:dyDescent="0.4"/>
    <row r="364" s="4" customFormat="1" x14ac:dyDescent="0.4"/>
    <row r="365" s="4" customFormat="1" x14ac:dyDescent="0.4"/>
    <row r="366" s="4" customFormat="1" x14ac:dyDescent="0.4"/>
    <row r="367" s="4" customFormat="1" x14ac:dyDescent="0.4"/>
    <row r="368" s="4" customFormat="1" x14ac:dyDescent="0.4"/>
    <row r="369" spans="3:43" s="4" customFormat="1" x14ac:dyDescent="0.4">
      <c r="C369" s="4" t="s">
        <v>11</v>
      </c>
      <c r="D369" s="4">
        <v>0</v>
      </c>
      <c r="E369" s="4">
        <v>1</v>
      </c>
      <c r="F369" s="4">
        <v>2</v>
      </c>
      <c r="G369" s="4">
        <v>3</v>
      </c>
      <c r="H369" s="4">
        <v>4</v>
      </c>
      <c r="I369" s="4">
        <v>5</v>
      </c>
      <c r="J369" s="4">
        <v>6</v>
      </c>
      <c r="K369" s="4">
        <v>7</v>
      </c>
      <c r="L369" s="4">
        <v>8</v>
      </c>
      <c r="M369" s="4">
        <v>9</v>
      </c>
      <c r="N369" s="4">
        <v>10</v>
      </c>
      <c r="O369" s="4">
        <v>11</v>
      </c>
      <c r="P369" s="4">
        <v>12</v>
      </c>
      <c r="Q369" s="4">
        <v>13</v>
      </c>
      <c r="R369" s="4">
        <v>14</v>
      </c>
      <c r="S369" s="4">
        <v>15</v>
      </c>
      <c r="T369" s="4">
        <v>16</v>
      </c>
      <c r="U369" s="4">
        <v>17</v>
      </c>
      <c r="V369" s="4">
        <v>18</v>
      </c>
      <c r="W369" s="4">
        <v>19</v>
      </c>
      <c r="X369" s="4">
        <v>20</v>
      </c>
      <c r="Y369" s="4">
        <v>21</v>
      </c>
      <c r="Z369" s="4">
        <v>22</v>
      </c>
      <c r="AA369" s="4">
        <v>23</v>
      </c>
      <c r="AB369" s="4">
        <v>24</v>
      </c>
      <c r="AC369" s="4">
        <v>25</v>
      </c>
      <c r="AD369" s="4">
        <v>26</v>
      </c>
      <c r="AE369" s="4">
        <v>27</v>
      </c>
      <c r="AF369" s="4">
        <v>28</v>
      </c>
      <c r="AG369" s="4">
        <v>29</v>
      </c>
      <c r="AH369" s="4">
        <v>30</v>
      </c>
      <c r="AI369" s="4">
        <v>31</v>
      </c>
      <c r="AJ369" s="4">
        <v>32</v>
      </c>
      <c r="AK369" s="4">
        <v>33</v>
      </c>
      <c r="AL369" s="4">
        <v>34</v>
      </c>
      <c r="AM369" s="4">
        <v>35</v>
      </c>
      <c r="AN369" s="4">
        <v>36</v>
      </c>
      <c r="AO369" s="4">
        <v>37</v>
      </c>
      <c r="AP369" s="4">
        <v>38</v>
      </c>
      <c r="AQ369" s="4">
        <v>39</v>
      </c>
    </row>
    <row r="370" spans="3:43" s="4" customFormat="1" x14ac:dyDescent="0.4">
      <c r="C370" s="4" t="s">
        <v>19</v>
      </c>
      <c r="E370" s="4">
        <v>33094890.491291702</v>
      </c>
      <c r="F370" s="4">
        <v>20947789.100303099</v>
      </c>
      <c r="G370" s="4">
        <v>17461769.3720208</v>
      </c>
      <c r="H370" s="4">
        <v>15276534.1679131</v>
      </c>
      <c r="I370" s="4">
        <v>17192932.397408102</v>
      </c>
      <c r="J370" s="4">
        <v>16051442.5797146</v>
      </c>
      <c r="K370" s="4">
        <v>15187192.8359212</v>
      </c>
      <c r="L370" s="4">
        <v>13423030.562539401</v>
      </c>
      <c r="M370" s="4">
        <v>12445241.770482801</v>
      </c>
      <c r="N370" s="4">
        <v>12015753.731037199</v>
      </c>
      <c r="O370" s="4">
        <v>7618073.6131998301</v>
      </c>
      <c r="P370" s="4">
        <v>9327919.4058329295</v>
      </c>
      <c r="Q370" s="4">
        <v>8097918.9718508702</v>
      </c>
      <c r="R370" s="4">
        <v>7658126.8613157403</v>
      </c>
      <c r="S370" s="4">
        <v>5304033.8424449302</v>
      </c>
      <c r="T370" s="4">
        <v>5562112.3109328803</v>
      </c>
      <c r="U370" s="4">
        <v>6869871.5803282904</v>
      </c>
      <c r="V370" s="4">
        <v>6189551.2179695899</v>
      </c>
      <c r="W370" s="4">
        <v>6584791.6262466097</v>
      </c>
      <c r="X370" s="4">
        <v>5907762.7453376995</v>
      </c>
      <c r="Y370" s="4">
        <v>5556398.3481402099</v>
      </c>
      <c r="Z370" s="4">
        <v>5582314.4096518997</v>
      </c>
      <c r="AA370" s="4">
        <v>4305457.2644996801</v>
      </c>
      <c r="AB370" s="4">
        <v>4016998.2135100798</v>
      </c>
      <c r="AC370" s="4">
        <v>4006143.5710580801</v>
      </c>
      <c r="AD370" s="4">
        <v>3890956.7682558</v>
      </c>
      <c r="AE370" s="4">
        <v>3665565.52549707</v>
      </c>
      <c r="AF370" s="4">
        <v>3032290.0263692401</v>
      </c>
      <c r="AG370" s="4">
        <v>2351868.3346160199</v>
      </c>
      <c r="AH370" s="4">
        <v>1748389.68522469</v>
      </c>
      <c r="AI370" s="4">
        <v>1044746.41954571</v>
      </c>
      <c r="AJ370" s="4">
        <v>917584.32811754104</v>
      </c>
      <c r="AK370" s="4">
        <v>733795.21923972503</v>
      </c>
      <c r="AL370" s="4">
        <v>594256.46124027797</v>
      </c>
      <c r="AM370" s="4">
        <v>519581.94033414801</v>
      </c>
      <c r="AN370" s="4">
        <v>390521.79386860598</v>
      </c>
      <c r="AO370" s="4">
        <v>365238.94117043202</v>
      </c>
      <c r="AP370" s="4">
        <v>310738.15949384199</v>
      </c>
      <c r="AQ370" s="4">
        <v>165511.15644945801</v>
      </c>
    </row>
    <row r="371" spans="3:43" s="4" customFormat="1" x14ac:dyDescent="0.4">
      <c r="C371" s="4" t="s">
        <v>24</v>
      </c>
      <c r="E371" s="4">
        <v>489727.79081486003</v>
      </c>
      <c r="F371" s="4">
        <v>2771399.3021649998</v>
      </c>
      <c r="G371" s="4">
        <v>3457967.04410352</v>
      </c>
      <c r="H371" s="4">
        <v>6238090.1846383596</v>
      </c>
      <c r="I371" s="4">
        <v>8030022.0589227797</v>
      </c>
      <c r="J371" s="4">
        <v>8878656.1246336605</v>
      </c>
      <c r="K371" s="4">
        <v>11578541.8080645</v>
      </c>
      <c r="L371" s="4">
        <v>10330911.872517601</v>
      </c>
      <c r="M371" s="4">
        <v>10043553.766137401</v>
      </c>
      <c r="N371" s="4">
        <v>5278396.15318467</v>
      </c>
      <c r="O371" s="4">
        <v>7106888.2327112304</v>
      </c>
      <c r="P371" s="4">
        <v>5630360.2763616201</v>
      </c>
      <c r="Q371" s="4">
        <v>5764199.7591903498</v>
      </c>
      <c r="R371" s="4">
        <v>4504409.2114518303</v>
      </c>
      <c r="S371" s="4">
        <v>4206323.7359848404</v>
      </c>
      <c r="T371" s="4">
        <v>4140890.9513531299</v>
      </c>
      <c r="U371" s="4">
        <v>3748535.0047466401</v>
      </c>
      <c r="V371" s="4">
        <v>4191361.22734932</v>
      </c>
      <c r="W371" s="4">
        <v>3447145.7826172798</v>
      </c>
      <c r="X371" s="4">
        <v>3568710.2602504799</v>
      </c>
      <c r="Y371" s="4">
        <v>3319132.1785960598</v>
      </c>
      <c r="Z371" s="4">
        <v>2117373.7199575598</v>
      </c>
      <c r="AA371" s="4">
        <v>2103754.8903469099</v>
      </c>
      <c r="AB371" s="4">
        <v>2272532.1927468502</v>
      </c>
      <c r="AC371" s="4">
        <v>2334269.3458363898</v>
      </c>
      <c r="AD371" s="4">
        <v>2106421.7305455301</v>
      </c>
      <c r="AE371" s="4">
        <v>1534504.5905992601</v>
      </c>
      <c r="AF371" s="4">
        <v>1155376.2392275699</v>
      </c>
      <c r="AG371" s="4">
        <v>765391.26140723401</v>
      </c>
      <c r="AH371" s="4">
        <v>417145.40039383603</v>
      </c>
      <c r="AI371" s="4">
        <v>419336.905495385</v>
      </c>
      <c r="AJ371" s="4">
        <v>352883.29484563897</v>
      </c>
      <c r="AK371" s="4">
        <v>350915.21052285202</v>
      </c>
      <c r="AL371" s="4">
        <v>323834.40648252598</v>
      </c>
      <c r="AM371" s="4">
        <v>268704.67277287599</v>
      </c>
      <c r="AN371" s="4">
        <v>277067.51273542998</v>
      </c>
      <c r="AO371" s="4">
        <v>221577.99028023399</v>
      </c>
      <c r="AP371" s="4">
        <v>108713.884530432</v>
      </c>
      <c r="AQ371" s="4">
        <v>107709.72679402601</v>
      </c>
    </row>
    <row r="372" spans="3:43" s="4" customFormat="1" x14ac:dyDescent="0.4"/>
    <row r="373" spans="3:43" s="4" customFormat="1" x14ac:dyDescent="0.4">
      <c r="C373" s="5" t="s">
        <v>27</v>
      </c>
      <c r="D373" s="5">
        <v>0</v>
      </c>
      <c r="E373" s="5">
        <v>1</v>
      </c>
      <c r="F373" s="5">
        <v>2</v>
      </c>
      <c r="G373" s="5">
        <v>3</v>
      </c>
      <c r="H373" s="5">
        <v>4</v>
      </c>
      <c r="I373" s="5">
        <v>5</v>
      </c>
      <c r="J373" s="5">
        <v>6</v>
      </c>
      <c r="K373" s="5">
        <v>7</v>
      </c>
      <c r="L373" s="5">
        <v>8</v>
      </c>
      <c r="M373" s="5">
        <v>9</v>
      </c>
      <c r="N373" s="5">
        <v>10</v>
      </c>
      <c r="O373" s="5">
        <v>11</v>
      </c>
      <c r="P373" s="5">
        <v>12</v>
      </c>
      <c r="Q373" s="5">
        <v>13</v>
      </c>
      <c r="R373" s="5">
        <v>14</v>
      </c>
      <c r="S373" s="5">
        <v>15</v>
      </c>
      <c r="T373" s="5">
        <v>16</v>
      </c>
      <c r="U373" s="5">
        <v>17</v>
      </c>
      <c r="V373" s="5">
        <v>18</v>
      </c>
      <c r="W373" s="5">
        <v>19</v>
      </c>
      <c r="X373" s="5">
        <v>20</v>
      </c>
      <c r="Y373" s="5">
        <v>21</v>
      </c>
      <c r="Z373" s="5">
        <v>22</v>
      </c>
      <c r="AA373" s="5">
        <v>23</v>
      </c>
      <c r="AB373" s="5">
        <v>24</v>
      </c>
      <c r="AC373" s="5">
        <v>25</v>
      </c>
      <c r="AD373" s="5">
        <v>26</v>
      </c>
      <c r="AE373" s="5">
        <v>27</v>
      </c>
      <c r="AF373" s="5">
        <v>28</v>
      </c>
      <c r="AG373" s="5">
        <v>29</v>
      </c>
      <c r="AH373" s="5">
        <v>30</v>
      </c>
      <c r="AI373" s="5">
        <v>31</v>
      </c>
      <c r="AJ373" s="5">
        <v>32</v>
      </c>
      <c r="AK373" s="5">
        <v>33</v>
      </c>
      <c r="AL373" s="5">
        <v>34</v>
      </c>
      <c r="AM373" s="5">
        <v>35</v>
      </c>
      <c r="AN373" s="5">
        <v>36</v>
      </c>
      <c r="AO373" s="5">
        <v>37</v>
      </c>
      <c r="AP373" s="5">
        <v>38</v>
      </c>
      <c r="AQ373" s="5">
        <v>39</v>
      </c>
    </row>
    <row r="374" spans="3:43" s="4" customFormat="1" x14ac:dyDescent="0.4">
      <c r="C374" s="5" t="s">
        <v>19</v>
      </c>
      <c r="D374" s="5"/>
      <c r="E374" s="6" t="e">
        <f t="shared" ref="E374:AQ374" si="4">+E370/D$324</f>
        <v>#VALUE!</v>
      </c>
      <c r="F374" s="6">
        <f t="shared" si="4"/>
        <v>4.5505008332432503E-3</v>
      </c>
      <c r="G374" s="6">
        <f t="shared" si="4"/>
        <v>4.2842514416782758E-3</v>
      </c>
      <c r="H374" s="6">
        <f t="shared" si="4"/>
        <v>4.2652793451136099E-3</v>
      </c>
      <c r="I374" s="6">
        <f t="shared" si="4"/>
        <v>5.3940561010869742E-3</v>
      </c>
      <c r="J374" s="6">
        <f t="shared" si="4"/>
        <v>5.6488233321268138E-3</v>
      </c>
      <c r="K374" s="6">
        <f t="shared" si="4"/>
        <v>5.8760759179937059E-3</v>
      </c>
      <c r="L374" s="6">
        <f t="shared" si="4"/>
        <v>5.6912517471833348E-3</v>
      </c>
      <c r="M374" s="6">
        <f t="shared" si="4"/>
        <v>5.7655108480242981E-3</v>
      </c>
      <c r="N374" s="6">
        <f t="shared" si="4"/>
        <v>6.0912591453259673E-3</v>
      </c>
      <c r="O374" s="6">
        <f t="shared" si="4"/>
        <v>4.246591422098973E-3</v>
      </c>
      <c r="P374" s="6">
        <f t="shared" si="4"/>
        <v>5.7093493354107511E-3</v>
      </c>
      <c r="Q374" s="6">
        <f t="shared" si="4"/>
        <v>5.5038709697208567E-3</v>
      </c>
      <c r="R374" s="6">
        <f t="shared" si="4"/>
        <v>5.8261484255261557E-3</v>
      </c>
      <c r="S374" s="6">
        <f t="shared" si="4"/>
        <v>4.5456618834258354E-3</v>
      </c>
      <c r="T374" s="6">
        <f t="shared" si="4"/>
        <v>5.3751649020601358E-3</v>
      </c>
      <c r="U374" s="6">
        <f t="shared" si="4"/>
        <v>7.5442647122361981E-3</v>
      </c>
      <c r="V374" s="6">
        <f t="shared" si="4"/>
        <v>7.7992363521552843E-3</v>
      </c>
      <c r="W374" s="6">
        <f t="shared" si="4"/>
        <v>9.5167460383492695E-3</v>
      </c>
      <c r="X374" s="6">
        <f t="shared" si="4"/>
        <v>9.822799186738328E-3</v>
      </c>
      <c r="Y374" s="6">
        <f t="shared" si="4"/>
        <v>1.058343155863576E-2</v>
      </c>
      <c r="Z374" s="6">
        <f t="shared" si="4"/>
        <v>1.2156666894746461E-2</v>
      </c>
      <c r="AA374" s="6">
        <f t="shared" si="4"/>
        <v>1.0687450759120488E-2</v>
      </c>
      <c r="AB374" s="6">
        <f t="shared" si="4"/>
        <v>1.1291225615658797E-2</v>
      </c>
      <c r="AC374" s="6">
        <f t="shared" si="4"/>
        <v>1.2981499984286486E-2</v>
      </c>
      <c r="AD374" s="6">
        <f t="shared" si="4"/>
        <v>1.4306870534945034E-2</v>
      </c>
      <c r="AE374" s="6">
        <f t="shared" si="4"/>
        <v>1.5391727006265397E-2</v>
      </c>
      <c r="AF374" s="6">
        <f t="shared" si="4"/>
        <v>1.4528161146713089E-2</v>
      </c>
      <c r="AG374" s="6">
        <f t="shared" si="4"/>
        <v>1.2846771507510049E-2</v>
      </c>
      <c r="AH374" s="6">
        <f t="shared" si="4"/>
        <v>1.0930425136024297E-2</v>
      </c>
      <c r="AI374" s="6">
        <f t="shared" si="4"/>
        <v>7.4641148264421864E-3</v>
      </c>
      <c r="AJ374" s="6">
        <f t="shared" si="4"/>
        <v>7.4510079457024451E-3</v>
      </c>
      <c r="AK374" s="6">
        <f t="shared" si="4"/>
        <v>6.7644786943164559E-3</v>
      </c>
      <c r="AL374" s="6">
        <f t="shared" si="4"/>
        <v>6.2280744272055584E-3</v>
      </c>
      <c r="AM374" s="6">
        <f t="shared" si="4"/>
        <v>6.2211018835417646E-3</v>
      </c>
      <c r="AN374" s="6">
        <f t="shared" si="4"/>
        <v>5.336898037189227E-3</v>
      </c>
      <c r="AO374" s="6">
        <f t="shared" si="4"/>
        <v>5.7265055252302263E-3</v>
      </c>
      <c r="AP374" s="6">
        <f t="shared" si="4"/>
        <v>5.5695223485531823E-3</v>
      </c>
      <c r="AQ374" s="6">
        <f t="shared" si="4"/>
        <v>3.382298184780782E-3</v>
      </c>
    </row>
    <row r="375" spans="3:43" s="4" customFormat="1" x14ac:dyDescent="0.4">
      <c r="C375" s="5" t="s">
        <v>24</v>
      </c>
      <c r="D375" s="5"/>
      <c r="E375" s="6">
        <f t="shared" ref="E375:AQ375" si="5">+E371/D$325</f>
        <v>9.2981097021084197E-5</v>
      </c>
      <c r="F375" s="6">
        <f t="shared" si="5"/>
        <v>6.1983993309626894E-4</v>
      </c>
      <c r="G375" s="6">
        <f t="shared" si="5"/>
        <v>8.9146245089437445E-4</v>
      </c>
      <c r="H375" s="6">
        <f t="shared" si="5"/>
        <v>1.8625291269844804E-3</v>
      </c>
      <c r="I375" s="6">
        <f t="shared" si="5"/>
        <v>2.7567608916729235E-3</v>
      </c>
      <c r="J375" s="6">
        <f t="shared" si="5"/>
        <v>3.4727525405209439E-3</v>
      </c>
      <c r="K375" s="6">
        <f t="shared" si="5"/>
        <v>5.0982215687565566E-3</v>
      </c>
      <c r="L375" s="6">
        <f t="shared" si="5"/>
        <v>5.0454860037843895E-3</v>
      </c>
      <c r="M375" s="6">
        <f t="shared" si="5"/>
        <v>5.4262207144662889E-3</v>
      </c>
      <c r="N375" s="6">
        <f t="shared" si="5"/>
        <v>3.1537198811412087E-3</v>
      </c>
      <c r="O375" s="6">
        <f t="shared" si="5"/>
        <v>4.670484768406165E-3</v>
      </c>
      <c r="P375" s="6">
        <f t="shared" si="5"/>
        <v>4.0956604411447207E-3</v>
      </c>
      <c r="Q375" s="6">
        <f t="shared" si="5"/>
        <v>4.6641202077646439E-3</v>
      </c>
      <c r="R375" s="6">
        <f t="shared" si="5"/>
        <v>4.0801659533115271E-3</v>
      </c>
      <c r="S375" s="6">
        <f t="shared" si="5"/>
        <v>4.2866749731779192E-3</v>
      </c>
      <c r="T375" s="6">
        <f t="shared" si="5"/>
        <v>4.7926637048925878E-3</v>
      </c>
      <c r="U375" s="6">
        <f t="shared" si="5"/>
        <v>4.9786162225507963E-3</v>
      </c>
      <c r="V375" s="6">
        <f t="shared" si="5"/>
        <v>6.4034919584227291E-3</v>
      </c>
      <c r="W375" s="6">
        <f t="shared" si="5"/>
        <v>6.0599249349289983E-3</v>
      </c>
      <c r="X375" s="6">
        <f t="shared" si="5"/>
        <v>7.2198448155329697E-3</v>
      </c>
      <c r="Y375" s="6">
        <f t="shared" si="5"/>
        <v>7.7446241797978497E-3</v>
      </c>
      <c r="Z375" s="6">
        <f t="shared" si="5"/>
        <v>5.6853360294682855E-3</v>
      </c>
      <c r="AA375" s="6">
        <f t="shared" si="5"/>
        <v>6.4341762304821774E-3</v>
      </c>
      <c r="AB375" s="6">
        <f t="shared" si="5"/>
        <v>7.8867493360523892E-3</v>
      </c>
      <c r="AC375" s="6">
        <f t="shared" si="5"/>
        <v>9.1749543569956057E-3</v>
      </c>
      <c r="AD375" s="6">
        <f t="shared" si="5"/>
        <v>9.4229897309108107E-3</v>
      </c>
      <c r="AE375" s="6">
        <f t="shared" si="5"/>
        <v>7.7801772805065911E-3</v>
      </c>
      <c r="AF375" s="6">
        <f t="shared" si="5"/>
        <v>6.6501633812602245E-3</v>
      </c>
      <c r="AG375" s="6">
        <f t="shared" si="5"/>
        <v>4.9500643414775742E-3</v>
      </c>
      <c r="AH375" s="6">
        <f t="shared" si="5"/>
        <v>3.1471727751613771E-3</v>
      </c>
      <c r="AI375" s="6">
        <f t="shared" si="5"/>
        <v>3.5535406274197043E-3</v>
      </c>
      <c r="AJ375" s="6">
        <f t="shared" si="5"/>
        <v>3.3723903628192168E-3</v>
      </c>
      <c r="AK375" s="6">
        <f t="shared" si="5"/>
        <v>3.7601987978110132E-3</v>
      </c>
      <c r="AL375" s="6">
        <f t="shared" si="5"/>
        <v>3.9031639863490895E-3</v>
      </c>
      <c r="AM375" s="6">
        <f t="shared" si="5"/>
        <v>3.6717645141882056E-3</v>
      </c>
      <c r="AN375" s="6">
        <f t="shared" si="5"/>
        <v>4.3503638894231388E-3</v>
      </c>
      <c r="AO375" s="6">
        <f t="shared" si="5"/>
        <v>4.0961449207290801E-3</v>
      </c>
      <c r="AP375" s="6">
        <f t="shared" si="5"/>
        <v>2.3198085031582365E-3</v>
      </c>
      <c r="AQ375" s="6">
        <f t="shared" si="5"/>
        <v>2.6895842317379037E-3</v>
      </c>
    </row>
    <row r="376" spans="3:43" s="4" customFormat="1" x14ac:dyDescent="0.4"/>
    <row r="377" spans="3:43" s="4" customFormat="1" x14ac:dyDescent="0.4"/>
    <row r="378" spans="3:43" s="4" customFormat="1" x14ac:dyDescent="0.4">
      <c r="D378" s="4">
        <v>0</v>
      </c>
      <c r="E378" s="4">
        <v>1</v>
      </c>
      <c r="F378" s="4">
        <v>2</v>
      </c>
      <c r="G378" s="4">
        <v>3</v>
      </c>
      <c r="H378" s="4">
        <v>4</v>
      </c>
      <c r="I378" s="4">
        <v>5</v>
      </c>
      <c r="J378" s="4">
        <v>6</v>
      </c>
      <c r="K378" s="4">
        <v>7</v>
      </c>
      <c r="L378" s="4">
        <v>8</v>
      </c>
      <c r="M378" s="4">
        <v>9</v>
      </c>
      <c r="N378" s="4">
        <v>10</v>
      </c>
      <c r="O378" s="4">
        <v>11</v>
      </c>
      <c r="P378" s="4">
        <v>12</v>
      </c>
      <c r="Q378" s="4">
        <v>13</v>
      </c>
      <c r="R378" s="4">
        <v>14</v>
      </c>
      <c r="S378" s="4">
        <v>15</v>
      </c>
      <c r="T378" s="4">
        <v>16</v>
      </c>
      <c r="U378" s="4">
        <v>17</v>
      </c>
      <c r="V378" s="4">
        <v>18</v>
      </c>
      <c r="W378" s="4">
        <v>19</v>
      </c>
      <c r="X378" s="4">
        <v>20</v>
      </c>
      <c r="Y378" s="4">
        <v>21</v>
      </c>
      <c r="Z378" s="4">
        <v>22</v>
      </c>
      <c r="AA378" s="4">
        <v>23</v>
      </c>
      <c r="AB378" s="4">
        <v>24</v>
      </c>
      <c r="AC378" s="4">
        <v>25</v>
      </c>
      <c r="AD378" s="4">
        <v>26</v>
      </c>
      <c r="AE378" s="4">
        <v>27</v>
      </c>
      <c r="AF378" s="4">
        <v>28</v>
      </c>
      <c r="AG378" s="4">
        <v>29</v>
      </c>
      <c r="AH378" s="4">
        <v>30</v>
      </c>
      <c r="AI378" s="4">
        <v>31</v>
      </c>
      <c r="AJ378" s="4">
        <v>32</v>
      </c>
      <c r="AK378" s="4">
        <v>33</v>
      </c>
      <c r="AL378" s="4">
        <v>34</v>
      </c>
      <c r="AM378" s="4">
        <v>35</v>
      </c>
      <c r="AN378" s="4">
        <v>36</v>
      </c>
      <c r="AO378" s="4">
        <v>37</v>
      </c>
      <c r="AP378" s="4">
        <v>38</v>
      </c>
      <c r="AQ378" s="4">
        <v>39</v>
      </c>
    </row>
    <row r="379" spans="3:43" s="4" customFormat="1" x14ac:dyDescent="0.4">
      <c r="C379" s="4" t="s">
        <v>19</v>
      </c>
      <c r="E379" s="4">
        <v>202327672.142773</v>
      </c>
      <c r="F379" s="4">
        <v>118430199.800713</v>
      </c>
      <c r="G379" s="4">
        <v>103887440.609566</v>
      </c>
      <c r="H379" s="4">
        <v>92681625.789367199</v>
      </c>
      <c r="I379" s="4">
        <v>88361815.705086499</v>
      </c>
      <c r="J379" s="4">
        <v>78242633.610594898</v>
      </c>
      <c r="K379" s="4">
        <v>69275243.874585807</v>
      </c>
      <c r="L379" s="4">
        <v>59304027.807061702</v>
      </c>
      <c r="M379" s="4">
        <v>51440825.282914601</v>
      </c>
      <c r="N379" s="4">
        <v>45429548.477085903</v>
      </c>
      <c r="O379" s="4">
        <v>33815013.579278797</v>
      </c>
      <c r="P379" s="4">
        <v>32652459.984390099</v>
      </c>
      <c r="Q379" s="4">
        <v>27411130.2740639</v>
      </c>
      <c r="R379" s="4">
        <v>23973741.986942101</v>
      </c>
      <c r="S379" s="4">
        <v>18022679.971663199</v>
      </c>
      <c r="T379" s="4">
        <v>16691805.2340845</v>
      </c>
      <c r="U379" s="4">
        <v>17202225.159310699</v>
      </c>
      <c r="V379" s="4">
        <v>15140638.131383801</v>
      </c>
      <c r="W379" s="4">
        <v>14993234.406959699</v>
      </c>
      <c r="X379" s="4">
        <v>13446694.914194301</v>
      </c>
      <c r="Y379" s="4">
        <v>12749875.7773265</v>
      </c>
      <c r="Z379" s="4">
        <v>12623305.8858792</v>
      </c>
      <c r="AA379" s="4">
        <v>10732878.769974001</v>
      </c>
      <c r="AB379" s="4">
        <v>10380804.4559914</v>
      </c>
      <c r="AC379" s="4">
        <v>10389395.6976639</v>
      </c>
      <c r="AD379" s="4">
        <v>10197284.9917293</v>
      </c>
      <c r="AE379" s="4">
        <v>9757596.3520329092</v>
      </c>
      <c r="AF379" s="4">
        <v>8647007.8972081393</v>
      </c>
      <c r="AG379" s="4">
        <v>7375411.0786987497</v>
      </c>
      <c r="AH379" s="4">
        <v>6107798.8766766703</v>
      </c>
      <c r="AI379" s="4">
        <v>4704568.0518421503</v>
      </c>
      <c r="AJ379" s="4">
        <v>4009131.8495432502</v>
      </c>
      <c r="AK379" s="4">
        <v>3273446.8501329399</v>
      </c>
      <c r="AL379" s="4">
        <v>2626268.8826613999</v>
      </c>
      <c r="AM379" s="4">
        <v>2116003.5835301601</v>
      </c>
      <c r="AN379" s="4">
        <v>1613826.0432812199</v>
      </c>
      <c r="AO379" s="4">
        <v>1304821.8516915501</v>
      </c>
      <c r="AP379" s="4">
        <v>1027438.1903780201</v>
      </c>
      <c r="AQ379" s="4">
        <v>706747.88202552905</v>
      </c>
    </row>
    <row r="380" spans="3:43" s="4" customFormat="1" x14ac:dyDescent="0.4">
      <c r="C380" s="4" t="s">
        <v>24</v>
      </c>
      <c r="E380" s="4">
        <v>1097742.25074213</v>
      </c>
      <c r="F380" s="4">
        <v>5148983.60389739</v>
      </c>
      <c r="G380" s="4">
        <v>6640729.4428474596</v>
      </c>
      <c r="H380" s="4">
        <v>11264783.679667599</v>
      </c>
      <c r="I380" s="4">
        <v>13092503.395033499</v>
      </c>
      <c r="J380" s="4">
        <v>13130854.5677536</v>
      </c>
      <c r="K380" s="4">
        <v>16416485.2548164</v>
      </c>
      <c r="L380" s="4">
        <v>14141855.2960879</v>
      </c>
      <c r="M380" s="4">
        <v>13563563.5744939</v>
      </c>
      <c r="N380" s="4">
        <v>7064623.7185790399</v>
      </c>
      <c r="O380" s="4">
        <v>9755015.8905841094</v>
      </c>
      <c r="P380" s="4">
        <v>7828103.26767396</v>
      </c>
      <c r="Q380" s="4">
        <v>8077271.32098745</v>
      </c>
      <c r="R380" s="4">
        <v>6399699.1024121102</v>
      </c>
      <c r="S380" s="4">
        <v>6336467.8515631203</v>
      </c>
      <c r="T380" s="4">
        <v>6244662.9724401804</v>
      </c>
      <c r="U380" s="4">
        <v>5802647.6068243999</v>
      </c>
      <c r="V380" s="4">
        <v>6471109.49982573</v>
      </c>
      <c r="W380" s="4">
        <v>5255210.4426697399</v>
      </c>
      <c r="X380" s="4">
        <v>5521981.2766928896</v>
      </c>
      <c r="Y380" s="4">
        <v>5055685.4268764099</v>
      </c>
      <c r="Z380" s="4">
        <v>3155835.4001009902</v>
      </c>
      <c r="AA380" s="4">
        <v>3116811.7530408902</v>
      </c>
      <c r="AB380" s="4">
        <v>3359923.8756250101</v>
      </c>
      <c r="AC380" s="4">
        <v>3420238.5903052199</v>
      </c>
      <c r="AD380" s="4">
        <v>3034424.07538513</v>
      </c>
      <c r="AE380" s="4">
        <v>2163679.2416910399</v>
      </c>
      <c r="AF380" s="4">
        <v>1580209.6256790699</v>
      </c>
      <c r="AG380" s="4">
        <v>1017293.66248281</v>
      </c>
      <c r="AH380" s="4">
        <v>552273.81184149696</v>
      </c>
      <c r="AI380" s="4">
        <v>559543.55059347302</v>
      </c>
      <c r="AJ380" s="4">
        <v>476839.43115735502</v>
      </c>
      <c r="AK380" s="4">
        <v>471816.26523801603</v>
      </c>
      <c r="AL380" s="4">
        <v>431852.19791221601</v>
      </c>
      <c r="AM380" s="4">
        <v>363156.47621732898</v>
      </c>
      <c r="AN380" s="4">
        <v>370271.15427643899</v>
      </c>
      <c r="AO380" s="4">
        <v>288729.53247024701</v>
      </c>
      <c r="AP380" s="4">
        <v>145365.342798981</v>
      </c>
      <c r="AQ380" s="4">
        <v>140214.036613048</v>
      </c>
    </row>
    <row r="381" spans="3:43" s="4" customFormat="1" x14ac:dyDescent="0.4"/>
    <row r="382" spans="3:43" s="4" customFormat="1" x14ac:dyDescent="0.4">
      <c r="C382" s="5" t="s">
        <v>28</v>
      </c>
      <c r="D382" s="5">
        <v>0</v>
      </c>
      <c r="E382" s="5">
        <v>1</v>
      </c>
      <c r="F382" s="5">
        <v>2</v>
      </c>
      <c r="G382" s="5">
        <v>3</v>
      </c>
      <c r="H382" s="5">
        <v>4</v>
      </c>
      <c r="I382" s="5">
        <v>5</v>
      </c>
      <c r="J382" s="5">
        <v>6</v>
      </c>
      <c r="K382" s="5">
        <v>7</v>
      </c>
      <c r="L382" s="5">
        <v>8</v>
      </c>
      <c r="M382" s="5">
        <v>9</v>
      </c>
      <c r="N382" s="5">
        <v>10</v>
      </c>
      <c r="O382" s="5">
        <v>11</v>
      </c>
      <c r="P382" s="5">
        <v>12</v>
      </c>
      <c r="Q382" s="5">
        <v>13</v>
      </c>
      <c r="R382" s="5">
        <v>14</v>
      </c>
      <c r="S382" s="5">
        <v>15</v>
      </c>
      <c r="T382" s="5">
        <v>16</v>
      </c>
      <c r="U382" s="5">
        <v>17</v>
      </c>
      <c r="V382" s="5">
        <v>18</v>
      </c>
      <c r="W382" s="5">
        <v>19</v>
      </c>
      <c r="X382" s="5">
        <v>20</v>
      </c>
      <c r="Y382" s="5">
        <v>21</v>
      </c>
      <c r="Z382" s="5">
        <v>22</v>
      </c>
      <c r="AA382" s="5">
        <v>23</v>
      </c>
      <c r="AB382" s="5">
        <v>24</v>
      </c>
      <c r="AC382" s="5">
        <v>25</v>
      </c>
      <c r="AD382" s="5">
        <v>26</v>
      </c>
      <c r="AE382" s="5">
        <v>27</v>
      </c>
      <c r="AF382" s="5">
        <v>28</v>
      </c>
      <c r="AG382" s="5">
        <v>29</v>
      </c>
      <c r="AH382" s="5">
        <v>30</v>
      </c>
      <c r="AI382" s="5">
        <v>31</v>
      </c>
      <c r="AJ382" s="5">
        <v>32</v>
      </c>
      <c r="AK382" s="5">
        <v>33</v>
      </c>
      <c r="AL382" s="5">
        <v>34</v>
      </c>
      <c r="AM382" s="5">
        <v>35</v>
      </c>
      <c r="AN382" s="5">
        <v>36</v>
      </c>
      <c r="AO382" s="5">
        <v>37</v>
      </c>
      <c r="AP382" s="5">
        <v>38</v>
      </c>
      <c r="AQ382" s="5">
        <v>39</v>
      </c>
    </row>
    <row r="383" spans="3:43" s="4" customFormat="1" x14ac:dyDescent="0.4">
      <c r="C383" s="5" t="s">
        <v>19</v>
      </c>
      <c r="D383" s="5"/>
      <c r="E383" s="6" t="e">
        <f t="shared" ref="E383:AQ383" si="6">+E379/D$324</f>
        <v>#VALUE!</v>
      </c>
      <c r="F383" s="6">
        <f t="shared" si="6"/>
        <v>2.5726663577423141E-2</v>
      </c>
      <c r="G383" s="6">
        <f t="shared" si="6"/>
        <v>2.5488821191107715E-2</v>
      </c>
      <c r="H383" s="6">
        <f t="shared" si="6"/>
        <v>2.5877140705203541E-2</v>
      </c>
      <c r="I383" s="6">
        <f t="shared" si="6"/>
        <v>2.7722355912886517E-2</v>
      </c>
      <c r="J383" s="6">
        <f t="shared" si="6"/>
        <v>2.7535145960347489E-2</v>
      </c>
      <c r="K383" s="6">
        <f t="shared" si="6"/>
        <v>2.6803280674871567E-2</v>
      </c>
      <c r="L383" s="6">
        <f t="shared" si="6"/>
        <v>2.5144407613424763E-2</v>
      </c>
      <c r="M383" s="6">
        <f t="shared" si="6"/>
        <v>2.383100639341465E-2</v>
      </c>
      <c r="N383" s="6">
        <f t="shared" si="6"/>
        <v>2.3030028646000896E-2</v>
      </c>
      <c r="O383" s="6">
        <f t="shared" si="6"/>
        <v>1.8849718957180007E-2</v>
      </c>
      <c r="P383" s="6">
        <f t="shared" si="6"/>
        <v>1.9985625153968314E-2</v>
      </c>
      <c r="Q383" s="6">
        <f t="shared" si="6"/>
        <v>1.8630382038531859E-2</v>
      </c>
      <c r="R383" s="6">
        <f t="shared" si="6"/>
        <v>1.8238739271445755E-2</v>
      </c>
      <c r="S383" s="6">
        <f t="shared" si="6"/>
        <v>1.5445793111042393E-2</v>
      </c>
      <c r="T383" s="6">
        <f t="shared" si="6"/>
        <v>1.6130779213127142E-2</v>
      </c>
      <c r="U383" s="6">
        <f t="shared" si="6"/>
        <v>1.889091211150816E-2</v>
      </c>
      <c r="V383" s="6">
        <f t="shared" si="6"/>
        <v>1.9078186955831272E-2</v>
      </c>
      <c r="W383" s="6">
        <f t="shared" si="6"/>
        <v>2.1669144939337807E-2</v>
      </c>
      <c r="X383" s="6">
        <f t="shared" si="6"/>
        <v>2.2357733301274607E-2</v>
      </c>
      <c r="Y383" s="6">
        <f t="shared" si="6"/>
        <v>2.4285054673160365E-2</v>
      </c>
      <c r="Z383" s="6">
        <f t="shared" si="6"/>
        <v>2.7489910725880282E-2</v>
      </c>
      <c r="AA383" s="6">
        <f t="shared" si="6"/>
        <v>2.6642260347934602E-2</v>
      </c>
      <c r="AB383" s="6">
        <f t="shared" si="6"/>
        <v>2.9179003563014897E-2</v>
      </c>
      <c r="AC383" s="6">
        <f t="shared" si="6"/>
        <v>3.3665777996655502E-2</v>
      </c>
      <c r="AD383" s="6">
        <f t="shared" si="6"/>
        <v>3.749495172366251E-2</v>
      </c>
      <c r="AE383" s="6">
        <f t="shared" si="6"/>
        <v>4.0972193306367262E-2</v>
      </c>
      <c r="AF383" s="6">
        <f t="shared" si="6"/>
        <v>4.1429125537163651E-2</v>
      </c>
      <c r="AG383" s="6">
        <f t="shared" si="6"/>
        <v>4.0287213151951613E-2</v>
      </c>
      <c r="AH383" s="6">
        <f t="shared" si="6"/>
        <v>3.8184186815783026E-2</v>
      </c>
      <c r="AI383" s="6">
        <f t="shared" si="6"/>
        <v>3.3611444357024518E-2</v>
      </c>
      <c r="AJ383" s="6">
        <f t="shared" si="6"/>
        <v>3.2555125835245231E-2</v>
      </c>
      <c r="AK383" s="6">
        <f t="shared" si="6"/>
        <v>3.0176213872916486E-2</v>
      </c>
      <c r="AL383" s="6">
        <f t="shared" si="6"/>
        <v>2.7524476608855337E-2</v>
      </c>
      <c r="AM383" s="6">
        <f t="shared" si="6"/>
        <v>2.5335510835143332E-2</v>
      </c>
      <c r="AN383" s="6">
        <f t="shared" si="6"/>
        <v>2.2054659120126469E-2</v>
      </c>
      <c r="AO383" s="6">
        <f t="shared" si="6"/>
        <v>2.0458030896727666E-2</v>
      </c>
      <c r="AP383" s="6">
        <f t="shared" si="6"/>
        <v>1.8415311374658586E-2</v>
      </c>
      <c r="AQ383" s="6">
        <f t="shared" si="6"/>
        <v>1.4442724767031479E-2</v>
      </c>
    </row>
    <row r="384" spans="3:43" s="4" customFormat="1" x14ac:dyDescent="0.4">
      <c r="C384" s="5" t="s">
        <v>24</v>
      </c>
      <c r="D384" s="5"/>
      <c r="E384" s="6">
        <f t="shared" ref="E384:AQ384" si="7">+E380/D$325</f>
        <v>2.0842043403451505E-4</v>
      </c>
      <c r="F384" s="6">
        <f t="shared" si="7"/>
        <v>1.1516007996611416E-3</v>
      </c>
      <c r="G384" s="6">
        <f t="shared" si="7"/>
        <v>1.7119772598590463E-3</v>
      </c>
      <c r="H384" s="6">
        <f t="shared" si="7"/>
        <v>3.3633671671222634E-3</v>
      </c>
      <c r="I384" s="6">
        <f t="shared" si="7"/>
        <v>4.49474497936375E-3</v>
      </c>
      <c r="J384" s="6">
        <f t="shared" si="7"/>
        <v>5.1359358803029272E-3</v>
      </c>
      <c r="K384" s="6">
        <f t="shared" si="7"/>
        <v>7.2284472947176425E-3</v>
      </c>
      <c r="L384" s="6">
        <f t="shared" si="7"/>
        <v>6.9067023167401513E-3</v>
      </c>
      <c r="M384" s="6">
        <f t="shared" si="7"/>
        <v>7.3279728812766882E-3</v>
      </c>
      <c r="N384" s="6">
        <f t="shared" si="7"/>
        <v>4.2209496270229968E-3</v>
      </c>
      <c r="O384" s="6">
        <f t="shared" si="7"/>
        <v>6.4107738352812251E-3</v>
      </c>
      <c r="P384" s="6">
        <f t="shared" si="7"/>
        <v>5.6943519257929573E-3</v>
      </c>
      <c r="Q384" s="6">
        <f t="shared" si="7"/>
        <v>6.5357492740860624E-3</v>
      </c>
      <c r="R384" s="6">
        <f t="shared" si="7"/>
        <v>5.7969498691891807E-3</v>
      </c>
      <c r="S384" s="6">
        <f t="shared" si="7"/>
        <v>6.4575101353397061E-3</v>
      </c>
      <c r="T384" s="6">
        <f t="shared" si="7"/>
        <v>7.2275676729716522E-3</v>
      </c>
      <c r="U384" s="6">
        <f t="shared" si="7"/>
        <v>7.7067855768987552E-3</v>
      </c>
      <c r="V384" s="6">
        <f t="shared" si="7"/>
        <v>9.8864534447232113E-3</v>
      </c>
      <c r="W384" s="6">
        <f t="shared" si="7"/>
        <v>9.2384200750726831E-3</v>
      </c>
      <c r="X384" s="6">
        <f t="shared" si="7"/>
        <v>1.1171500341751772E-2</v>
      </c>
      <c r="Y384" s="6">
        <f t="shared" si="7"/>
        <v>1.1796572566447274E-2</v>
      </c>
      <c r="Z384" s="6">
        <f t="shared" si="7"/>
        <v>8.4736976444693222E-3</v>
      </c>
      <c r="AA384" s="6">
        <f t="shared" si="7"/>
        <v>9.5325345116589379E-3</v>
      </c>
      <c r="AB384" s="6">
        <f t="shared" si="7"/>
        <v>1.1660506935764221E-2</v>
      </c>
      <c r="AC384" s="6">
        <f t="shared" si="7"/>
        <v>1.3443407039576855E-2</v>
      </c>
      <c r="AD384" s="6">
        <f t="shared" si="7"/>
        <v>1.3574369503953694E-2</v>
      </c>
      <c r="AE384" s="6">
        <f t="shared" si="7"/>
        <v>1.0970190758396076E-2</v>
      </c>
      <c r="AF384" s="6">
        <f t="shared" si="7"/>
        <v>9.0954373394691469E-3</v>
      </c>
      <c r="AG384" s="6">
        <f t="shared" si="7"/>
        <v>6.5792090103155782E-3</v>
      </c>
      <c r="AH384" s="6">
        <f t="shared" si="7"/>
        <v>4.1666553279052759E-3</v>
      </c>
      <c r="AI384" s="6">
        <f t="shared" si="7"/>
        <v>4.7416783826732898E-3</v>
      </c>
      <c r="AJ384" s="6">
        <f t="shared" si="7"/>
        <v>4.5569986614149146E-3</v>
      </c>
      <c r="AK384" s="6">
        <f t="shared" si="7"/>
        <v>5.055702631676426E-3</v>
      </c>
      <c r="AL384" s="6">
        <f t="shared" si="7"/>
        <v>5.2050983853922728E-3</v>
      </c>
      <c r="AM384" s="6">
        <f t="shared" si="7"/>
        <v>4.9624185865926717E-3</v>
      </c>
      <c r="AN384" s="6">
        <f t="shared" si="7"/>
        <v>5.813796944131088E-3</v>
      </c>
      <c r="AO384" s="6">
        <f t="shared" si="7"/>
        <v>5.3375247532335161E-3</v>
      </c>
      <c r="AP384" s="6">
        <f t="shared" si="7"/>
        <v>3.1019014705080381E-3</v>
      </c>
      <c r="AQ384" s="6">
        <f t="shared" si="7"/>
        <v>3.5012386825930687E-3</v>
      </c>
    </row>
    <row r="385" s="4" customFormat="1" x14ac:dyDescent="0.4"/>
    <row r="386" s="4" customFormat="1" x14ac:dyDescent="0.4"/>
    <row r="387" s="4" customFormat="1" x14ac:dyDescent="0.4"/>
    <row r="388" s="4" customFormat="1" x14ac:dyDescent="0.4"/>
    <row r="389" s="4" customFormat="1" x14ac:dyDescent="0.4"/>
    <row r="390" s="4" customFormat="1" x14ac:dyDescent="0.4"/>
    <row r="391" s="4" customFormat="1" x14ac:dyDescent="0.4"/>
    <row r="392" s="4" customFormat="1" x14ac:dyDescent="0.4"/>
    <row r="393" s="4" customFormat="1" x14ac:dyDescent="0.4"/>
    <row r="394" s="4" customFormat="1" x14ac:dyDescent="0.4"/>
    <row r="395" s="4" customFormat="1" x14ac:dyDescent="0.4"/>
    <row r="396" s="4" customFormat="1" x14ac:dyDescent="0.4"/>
    <row r="397" s="4" customFormat="1" x14ac:dyDescent="0.4"/>
    <row r="398" s="4" customFormat="1" x14ac:dyDescent="0.4"/>
    <row r="399" s="4" customFormat="1" x14ac:dyDescent="0.4"/>
    <row r="400" s="4" customFormat="1" x14ac:dyDescent="0.4"/>
    <row r="401" spans="3:43" s="4" customFormat="1" x14ac:dyDescent="0.4"/>
    <row r="402" spans="3:43" s="4" customFormat="1" x14ac:dyDescent="0.4"/>
    <row r="403" spans="3:43" s="4" customFormat="1" x14ac:dyDescent="0.4"/>
    <row r="404" spans="3:43" s="4" customFormat="1" x14ac:dyDescent="0.4"/>
    <row r="405" spans="3:43" s="4" customFormat="1" x14ac:dyDescent="0.4"/>
    <row r="406" spans="3:43" s="4" customFormat="1" x14ac:dyDescent="0.4"/>
    <row r="407" spans="3:43" s="4" customFormat="1" x14ac:dyDescent="0.4">
      <c r="C407" s="4" t="s">
        <v>14</v>
      </c>
      <c r="D407" s="4">
        <v>0</v>
      </c>
      <c r="E407" s="4">
        <v>1</v>
      </c>
      <c r="F407" s="4">
        <v>2</v>
      </c>
      <c r="G407" s="4">
        <v>3</v>
      </c>
      <c r="H407" s="4">
        <v>4</v>
      </c>
      <c r="I407" s="4">
        <v>5</v>
      </c>
      <c r="J407" s="4">
        <v>6</v>
      </c>
      <c r="K407" s="4">
        <v>7</v>
      </c>
      <c r="L407" s="4">
        <v>8</v>
      </c>
      <c r="M407" s="4">
        <v>9</v>
      </c>
      <c r="N407" s="4">
        <v>10</v>
      </c>
      <c r="O407" s="4">
        <v>11</v>
      </c>
      <c r="P407" s="4">
        <v>12</v>
      </c>
      <c r="Q407" s="4">
        <v>13</v>
      </c>
      <c r="R407" s="4">
        <v>14</v>
      </c>
      <c r="S407" s="4">
        <v>15</v>
      </c>
      <c r="T407" s="4">
        <v>16</v>
      </c>
      <c r="U407" s="4">
        <v>17</v>
      </c>
      <c r="V407" s="4">
        <v>18</v>
      </c>
      <c r="W407" s="4">
        <v>19</v>
      </c>
      <c r="X407" s="4">
        <v>20</v>
      </c>
      <c r="Y407" s="4">
        <v>21</v>
      </c>
      <c r="Z407" s="4">
        <v>22</v>
      </c>
      <c r="AA407" s="4">
        <v>23</v>
      </c>
      <c r="AB407" s="4">
        <v>24</v>
      </c>
      <c r="AC407" s="4">
        <v>25</v>
      </c>
      <c r="AD407" s="4">
        <v>26</v>
      </c>
      <c r="AE407" s="4">
        <v>27</v>
      </c>
      <c r="AF407" s="4">
        <v>28</v>
      </c>
      <c r="AG407" s="4">
        <v>29</v>
      </c>
      <c r="AH407" s="4">
        <v>30</v>
      </c>
      <c r="AI407" s="4">
        <v>31</v>
      </c>
      <c r="AJ407" s="4">
        <v>32</v>
      </c>
      <c r="AK407" s="4">
        <v>33</v>
      </c>
      <c r="AL407" s="4">
        <v>34</v>
      </c>
      <c r="AM407" s="4">
        <v>35</v>
      </c>
      <c r="AN407" s="4">
        <v>36</v>
      </c>
      <c r="AO407" s="4">
        <v>37</v>
      </c>
      <c r="AP407" s="4">
        <v>38</v>
      </c>
      <c r="AQ407" s="4">
        <v>39</v>
      </c>
    </row>
    <row r="408" spans="3:43" s="4" customFormat="1" x14ac:dyDescent="0.4">
      <c r="C408" s="4" t="s">
        <v>19</v>
      </c>
      <c r="E408" s="4">
        <v>123156179.796986</v>
      </c>
      <c r="F408" s="4">
        <v>112538116.268549</v>
      </c>
      <c r="G408" s="4">
        <v>104906484.886713</v>
      </c>
      <c r="H408" s="4">
        <v>98062865.056453899</v>
      </c>
      <c r="I408" s="4">
        <v>91715690.034470096</v>
      </c>
      <c r="J408" s="4">
        <v>86682032.675873205</v>
      </c>
      <c r="K408" s="4">
        <v>82286474.767097205</v>
      </c>
      <c r="L408" s="4">
        <v>77848308.402952805</v>
      </c>
      <c r="M408" s="4">
        <v>73430657.781127706</v>
      </c>
      <c r="N408" s="4">
        <v>68801790.785717502</v>
      </c>
      <c r="O408" s="4">
        <v>64236125.293892302</v>
      </c>
      <c r="P408" s="4">
        <v>59754439.986481696</v>
      </c>
      <c r="Q408" s="4">
        <v>54985512.5739052</v>
      </c>
      <c r="R408" s="4">
        <v>50285826.745508596</v>
      </c>
      <c r="S408" s="4">
        <v>45698211.1072044</v>
      </c>
      <c r="T408" s="4">
        <v>41437948.6239333</v>
      </c>
      <c r="U408" s="4">
        <v>37180671.8657066</v>
      </c>
      <c r="V408" s="4">
        <v>33132962.7659445</v>
      </c>
      <c r="W408" s="4">
        <v>29431531.710070498</v>
      </c>
      <c r="X408" s="4">
        <v>26037078.939879801</v>
      </c>
      <c r="Y408" s="4">
        <v>23096772.474711001</v>
      </c>
      <c r="Z408" s="4">
        <v>20469402.772107702</v>
      </c>
      <c r="AA408" s="4">
        <v>18275305.7559698</v>
      </c>
      <c r="AB408" s="4">
        <v>16385439.425922399</v>
      </c>
      <c r="AC408" s="4">
        <v>14728499.7028863</v>
      </c>
      <c r="AD408" s="4">
        <v>13278576.969903899</v>
      </c>
      <c r="AE408" s="4">
        <v>12009958.667603999</v>
      </c>
      <c r="AF408" s="4">
        <v>10894150.514986601</v>
      </c>
      <c r="AG408" s="4">
        <v>9934508.2536803707</v>
      </c>
      <c r="AH408" s="4">
        <v>9073784.2309091799</v>
      </c>
      <c r="AI408" s="4">
        <v>8360295.7865173696</v>
      </c>
      <c r="AJ408" s="4">
        <v>7728307.8051541997</v>
      </c>
      <c r="AK408" s="4">
        <v>7153592.63936962</v>
      </c>
      <c r="AL408" s="4">
        <v>6634779.2464344902</v>
      </c>
      <c r="AM408" s="4">
        <v>6146553.5136085497</v>
      </c>
      <c r="AN408" s="4">
        <v>5672915.1305464199</v>
      </c>
      <c r="AO408" s="4">
        <v>5218683.5506304996</v>
      </c>
      <c r="AP408" s="4">
        <v>4866837.8279115101</v>
      </c>
      <c r="AQ408" s="4">
        <v>4523995.8209629804</v>
      </c>
    </row>
    <row r="409" spans="3:43" s="4" customFormat="1" x14ac:dyDescent="0.4">
      <c r="C409" s="4" t="s">
        <v>24</v>
      </c>
      <c r="E409" s="4">
        <v>123057943.21815801</v>
      </c>
      <c r="F409" s="4">
        <v>110702429.171947</v>
      </c>
      <c r="G409" s="4">
        <v>100868480.102404</v>
      </c>
      <c r="H409" s="4">
        <v>91893750.714228705</v>
      </c>
      <c r="I409" s="4">
        <v>84427960.569118202</v>
      </c>
      <c r="J409" s="4">
        <v>77274568.687984005</v>
      </c>
      <c r="K409" s="4">
        <v>71988470.539290696</v>
      </c>
      <c r="L409" s="4">
        <v>66928769.492379703</v>
      </c>
      <c r="M409" s="4">
        <v>62003472.828349397</v>
      </c>
      <c r="N409" s="4">
        <v>57452622.939960003</v>
      </c>
      <c r="O409" s="4">
        <v>53149107.313728102</v>
      </c>
      <c r="P409" s="4">
        <v>48756994.690333702</v>
      </c>
      <c r="Q409" s="4">
        <v>44503432.828165501</v>
      </c>
      <c r="R409" s="4">
        <v>40342204.362798199</v>
      </c>
      <c r="S409" s="4">
        <v>36447425.833802298</v>
      </c>
      <c r="T409" s="4">
        <v>32639380.519838799</v>
      </c>
      <c r="U409" s="4">
        <v>29072331.647973701</v>
      </c>
      <c r="V409" s="4">
        <v>25765741.5194414</v>
      </c>
      <c r="W409" s="4">
        <v>22753688.582453799</v>
      </c>
      <c r="X409" s="4">
        <v>20087548.531337898</v>
      </c>
      <c r="Y409" s="4">
        <v>17623618.1449687</v>
      </c>
      <c r="Z409" s="4">
        <v>15526843.6442509</v>
      </c>
      <c r="AA409" s="4">
        <v>13685065.502567301</v>
      </c>
      <c r="AB409" s="4">
        <v>12006521.867858101</v>
      </c>
      <c r="AC409" s="4">
        <v>10439917.826214699</v>
      </c>
      <c r="AD409" s="4">
        <v>9040914.5919548199</v>
      </c>
      <c r="AE409" s="4">
        <v>7831335.66548198</v>
      </c>
      <c r="AF409" s="4">
        <v>6825310.9563060403</v>
      </c>
      <c r="AG409" s="4">
        <v>5947362.5629963903</v>
      </c>
      <c r="AH409" s="4">
        <v>5232978.9506167797</v>
      </c>
      <c r="AI409" s="4">
        <v>4622361.7538055098</v>
      </c>
      <c r="AJ409" s="4">
        <v>4092801.9202664201</v>
      </c>
      <c r="AK409" s="4">
        <v>3605001.01156777</v>
      </c>
      <c r="AL409" s="4">
        <v>3197643.2342062299</v>
      </c>
      <c r="AM409" s="4">
        <v>2843025.4100791598</v>
      </c>
      <c r="AN409" s="4">
        <v>2531165.7539524902</v>
      </c>
      <c r="AO409" s="4">
        <v>2255564.30870604</v>
      </c>
      <c r="AP409" s="4">
        <v>2041007.9986723701</v>
      </c>
      <c r="AQ409" s="4">
        <v>1811451.22836135</v>
      </c>
    </row>
    <row r="410" spans="3:43" s="4" customFormat="1" x14ac:dyDescent="0.4"/>
    <row r="411" spans="3:43" s="4" customFormat="1" x14ac:dyDescent="0.4">
      <c r="C411" s="5" t="s">
        <v>29</v>
      </c>
      <c r="D411" s="5">
        <v>0</v>
      </c>
      <c r="E411" s="5">
        <v>1</v>
      </c>
      <c r="F411" s="5">
        <v>2</v>
      </c>
      <c r="G411" s="5">
        <v>3</v>
      </c>
      <c r="H411" s="5">
        <v>4</v>
      </c>
      <c r="I411" s="5">
        <v>5</v>
      </c>
      <c r="J411" s="5">
        <v>6</v>
      </c>
      <c r="K411" s="5">
        <v>7</v>
      </c>
      <c r="L411" s="5">
        <v>8</v>
      </c>
      <c r="M411" s="5">
        <v>9</v>
      </c>
      <c r="N411" s="5">
        <v>10</v>
      </c>
      <c r="O411" s="5">
        <v>11</v>
      </c>
      <c r="P411" s="5">
        <v>12</v>
      </c>
      <c r="Q411" s="5">
        <v>13</v>
      </c>
      <c r="R411" s="5">
        <v>14</v>
      </c>
      <c r="S411" s="5">
        <v>15</v>
      </c>
      <c r="T411" s="5">
        <v>16</v>
      </c>
      <c r="U411" s="5">
        <v>17</v>
      </c>
      <c r="V411" s="5">
        <v>18</v>
      </c>
      <c r="W411" s="5">
        <v>19</v>
      </c>
      <c r="X411" s="5">
        <v>20</v>
      </c>
      <c r="Y411" s="5">
        <v>21</v>
      </c>
      <c r="Z411" s="5">
        <v>22</v>
      </c>
      <c r="AA411" s="5">
        <v>23</v>
      </c>
      <c r="AB411" s="5">
        <v>24</v>
      </c>
      <c r="AC411" s="5">
        <v>25</v>
      </c>
      <c r="AD411" s="5">
        <v>26</v>
      </c>
      <c r="AE411" s="5">
        <v>27</v>
      </c>
      <c r="AF411" s="5">
        <v>28</v>
      </c>
      <c r="AG411" s="5">
        <v>29</v>
      </c>
      <c r="AH411" s="5">
        <v>30</v>
      </c>
      <c r="AI411" s="5">
        <v>31</v>
      </c>
      <c r="AJ411" s="5">
        <v>32</v>
      </c>
      <c r="AK411" s="5">
        <v>33</v>
      </c>
      <c r="AL411" s="5">
        <v>34</v>
      </c>
      <c r="AM411" s="5">
        <v>35</v>
      </c>
      <c r="AN411" s="5">
        <v>36</v>
      </c>
      <c r="AO411" s="5">
        <v>37</v>
      </c>
      <c r="AP411" s="5">
        <v>38</v>
      </c>
      <c r="AQ411" s="5">
        <v>39</v>
      </c>
    </row>
    <row r="412" spans="3:43" s="4" customFormat="1" x14ac:dyDescent="0.4">
      <c r="C412" s="5" t="s">
        <v>19</v>
      </c>
      <c r="D412" s="5"/>
      <c r="E412" s="6" t="e">
        <f t="shared" ref="E412:AQ412" si="8">+E408/D$324</f>
        <v>#VALUE!</v>
      </c>
      <c r="F412" s="6">
        <f t="shared" si="8"/>
        <v>2.4446722725705132E-2</v>
      </c>
      <c r="G412" s="6">
        <f t="shared" si="8"/>
        <v>2.5738844073696948E-2</v>
      </c>
      <c r="H412" s="6">
        <f t="shared" si="8"/>
        <v>2.7379607720609999E-2</v>
      </c>
      <c r="I412" s="6">
        <f t="shared" si="8"/>
        <v>2.8774589811707517E-2</v>
      </c>
      <c r="J412" s="6">
        <f t="shared" si="8"/>
        <v>3.0505139100361012E-2</v>
      </c>
      <c r="K412" s="6">
        <f t="shared" si="8"/>
        <v>3.1837455280866456E-2</v>
      </c>
      <c r="L412" s="6">
        <f t="shared" si="8"/>
        <v>3.3007026181556591E-2</v>
      </c>
      <c r="M412" s="6">
        <f t="shared" si="8"/>
        <v>3.4018242620145384E-2</v>
      </c>
      <c r="N412" s="6">
        <f t="shared" si="8"/>
        <v>3.487833944663659E-2</v>
      </c>
      <c r="O412" s="6">
        <f t="shared" si="8"/>
        <v>3.5807553524983569E-2</v>
      </c>
      <c r="P412" s="6">
        <f t="shared" si="8"/>
        <v>3.6573962250502245E-2</v>
      </c>
      <c r="Q412" s="6">
        <f t="shared" si="8"/>
        <v>3.7371720742417826E-2</v>
      </c>
      <c r="R412" s="6">
        <f t="shared" si="8"/>
        <v>3.8256442551186778E-2</v>
      </c>
      <c r="S412" s="6">
        <f t="shared" si="8"/>
        <v>3.9164270542250586E-2</v>
      </c>
      <c r="T412" s="6">
        <f t="shared" si="8"/>
        <v>4.004518330543743E-2</v>
      </c>
      <c r="U412" s="6">
        <f t="shared" si="8"/>
        <v>4.0830578483721701E-2</v>
      </c>
      <c r="V412" s="6">
        <f t="shared" si="8"/>
        <v>4.1749684033397627E-2</v>
      </c>
      <c r="W412" s="6">
        <f t="shared" si="8"/>
        <v>4.2536260629407269E-2</v>
      </c>
      <c r="X412" s="6">
        <f t="shared" si="8"/>
        <v>4.3291683986045611E-2</v>
      </c>
      <c r="Y412" s="6">
        <f t="shared" si="8"/>
        <v>4.3993086059660229E-2</v>
      </c>
      <c r="Z412" s="6">
        <f t="shared" si="8"/>
        <v>4.4576441377910531E-2</v>
      </c>
      <c r="AA412" s="6">
        <f t="shared" si="8"/>
        <v>4.5364851716277667E-2</v>
      </c>
      <c r="AB412" s="6">
        <f t="shared" si="8"/>
        <v>4.6057200809192324E-2</v>
      </c>
      <c r="AC412" s="6">
        <f t="shared" si="8"/>
        <v>4.7726202336548784E-2</v>
      </c>
      <c r="AD412" s="6">
        <f t="shared" si="8"/>
        <v>4.8824721761655004E-2</v>
      </c>
      <c r="AE412" s="6">
        <f t="shared" si="8"/>
        <v>5.0429873339455436E-2</v>
      </c>
      <c r="AF412" s="6">
        <f t="shared" si="8"/>
        <v>5.2195526437747164E-2</v>
      </c>
      <c r="AG412" s="6">
        <f t="shared" si="8"/>
        <v>5.4265944949397626E-2</v>
      </c>
      <c r="AH412" s="6">
        <f t="shared" si="8"/>
        <v>5.6726666872119344E-2</v>
      </c>
      <c r="AI412" s="6">
        <f t="shared" si="8"/>
        <v>5.9729525333736933E-2</v>
      </c>
      <c r="AJ412" s="6">
        <f t="shared" si="8"/>
        <v>6.2755739280304909E-2</v>
      </c>
      <c r="AK412" s="6">
        <f t="shared" si="8"/>
        <v>6.5945271552697443E-2</v>
      </c>
      <c r="AL412" s="6">
        <f t="shared" si="8"/>
        <v>6.9535464315574294E-2</v>
      </c>
      <c r="AM412" s="6">
        <f t="shared" si="8"/>
        <v>7.3594427889870404E-2</v>
      </c>
      <c r="AN412" s="6">
        <f t="shared" si="8"/>
        <v>7.7526453326547937E-2</v>
      </c>
      <c r="AO412" s="6">
        <f t="shared" si="8"/>
        <v>8.1822655851935711E-2</v>
      </c>
      <c r="AP412" s="6">
        <f t="shared" si="8"/>
        <v>8.7230876611645608E-2</v>
      </c>
      <c r="AQ412" s="6">
        <f t="shared" si="8"/>
        <v>9.2449978487531975E-2</v>
      </c>
    </row>
    <row r="413" spans="3:43" s="4" customFormat="1" x14ac:dyDescent="0.4">
      <c r="C413" s="5" t="s">
        <v>24</v>
      </c>
      <c r="D413" s="5"/>
      <c r="E413" s="6">
        <f t="shared" ref="E413:AQ413" si="9">+E409/D$325</f>
        <v>2.3364127525914196E-2</v>
      </c>
      <c r="F413" s="6">
        <f t="shared" si="9"/>
        <v>2.4759256537998799E-2</v>
      </c>
      <c r="G413" s="6">
        <f t="shared" si="9"/>
        <v>2.6003851784362927E-2</v>
      </c>
      <c r="H413" s="6">
        <f t="shared" si="9"/>
        <v>2.7437049197297586E-2</v>
      </c>
      <c r="I413" s="6">
        <f t="shared" si="9"/>
        <v>2.8984689973799597E-2</v>
      </c>
      <c r="J413" s="6">
        <f t="shared" si="9"/>
        <v>3.0224783003399536E-2</v>
      </c>
      <c r="K413" s="6">
        <f t="shared" si="9"/>
        <v>3.1697702464535016E-2</v>
      </c>
      <c r="L413" s="6">
        <f t="shared" si="9"/>
        <v>3.2687160038857271E-2</v>
      </c>
      <c r="M413" s="6">
        <f t="shared" si="9"/>
        <v>3.3498554044125828E-2</v>
      </c>
      <c r="N413" s="6">
        <f t="shared" si="9"/>
        <v>3.4326616254473891E-2</v>
      </c>
      <c r="O413" s="6">
        <f t="shared" si="9"/>
        <v>3.4928380471864112E-2</v>
      </c>
      <c r="P413" s="6">
        <f t="shared" si="9"/>
        <v>3.5467018908307842E-2</v>
      </c>
      <c r="Q413" s="6">
        <f t="shared" si="9"/>
        <v>3.6010091433385495E-2</v>
      </c>
      <c r="R413" s="6">
        <f t="shared" si="9"/>
        <v>3.654261435753775E-2</v>
      </c>
      <c r="S413" s="6">
        <f t="shared" si="9"/>
        <v>3.7143662248796949E-2</v>
      </c>
      <c r="T413" s="6">
        <f t="shared" si="9"/>
        <v>3.7776791566194866E-2</v>
      </c>
      <c r="U413" s="6">
        <f t="shared" si="9"/>
        <v>3.8612413059154999E-2</v>
      </c>
      <c r="V413" s="6">
        <f t="shared" si="9"/>
        <v>3.9364471271516786E-2</v>
      </c>
      <c r="W413" s="6">
        <f t="shared" si="9"/>
        <v>3.9999945896610725E-2</v>
      </c>
      <c r="X413" s="6">
        <f t="shared" si="9"/>
        <v>4.0639046754826096E-2</v>
      </c>
      <c r="Y413" s="6">
        <f t="shared" si="9"/>
        <v>4.1121682378669568E-2</v>
      </c>
      <c r="Z413" s="6">
        <f t="shared" si="9"/>
        <v>4.1690950805014081E-2</v>
      </c>
      <c r="AA413" s="6">
        <f t="shared" si="9"/>
        <v>4.1854744377892016E-2</v>
      </c>
      <c r="AB413" s="6">
        <f t="shared" si="9"/>
        <v>4.166824508442802E-2</v>
      </c>
      <c r="AC413" s="6">
        <f t="shared" si="9"/>
        <v>4.103458314146851E-2</v>
      </c>
      <c r="AD413" s="6">
        <f t="shared" si="9"/>
        <v>4.0444154236848127E-2</v>
      </c>
      <c r="AE413" s="6">
        <f t="shared" si="9"/>
        <v>3.9706091590647891E-2</v>
      </c>
      <c r="AF413" s="6">
        <f t="shared" si="9"/>
        <v>3.9285413224081765E-2</v>
      </c>
      <c r="AG413" s="6">
        <f t="shared" si="9"/>
        <v>3.8463762043480336E-2</v>
      </c>
      <c r="AH413" s="6">
        <f t="shared" si="9"/>
        <v>3.9480451830045012E-2</v>
      </c>
      <c r="AI413" s="6">
        <f t="shared" si="9"/>
        <v>3.9170771929492504E-2</v>
      </c>
      <c r="AJ413" s="6">
        <f t="shared" si="9"/>
        <v>3.9113570844638797E-2</v>
      </c>
      <c r="AK413" s="6">
        <f t="shared" si="9"/>
        <v>3.8629047881986477E-2</v>
      </c>
      <c r="AL413" s="6">
        <f t="shared" si="9"/>
        <v>3.8541074274700486E-2</v>
      </c>
      <c r="AM413" s="6">
        <f t="shared" si="9"/>
        <v>3.8849044588396796E-2</v>
      </c>
      <c r="AN413" s="6">
        <f t="shared" si="9"/>
        <v>3.9742992548730212E-2</v>
      </c>
      <c r="AO413" s="6">
        <f t="shared" si="9"/>
        <v>4.1696913465092598E-2</v>
      </c>
      <c r="AP413" s="6">
        <f t="shared" si="9"/>
        <v>4.3552373560975584E-2</v>
      </c>
      <c r="AQ413" s="6">
        <f t="shared" si="9"/>
        <v>4.523315400919916E-2</v>
      </c>
    </row>
    <row r="414" spans="3:43" s="4" customFormat="1" x14ac:dyDescent="0.4"/>
    <row r="415" spans="3:43" s="4" customFormat="1" x14ac:dyDescent="0.4"/>
    <row r="416" spans="3:43" s="4" customFormat="1" x14ac:dyDescent="0.4"/>
    <row r="417" s="4" customFormat="1" x14ac:dyDescent="0.4"/>
    <row r="418" s="4" customFormat="1" x14ac:dyDescent="0.4"/>
    <row r="419" s="4" customFormat="1" x14ac:dyDescent="0.4"/>
    <row r="420" s="4" customFormat="1" x14ac:dyDescent="0.4"/>
    <row r="421" s="4" customFormat="1" x14ac:dyDescent="0.4"/>
    <row r="422" s="4" customFormat="1" x14ac:dyDescent="0.4"/>
    <row r="423" s="4" customFormat="1" x14ac:dyDescent="0.4"/>
    <row r="424" s="4" customFormat="1" x14ac:dyDescent="0.4"/>
    <row r="425" s="4" customFormat="1" x14ac:dyDescent="0.4"/>
    <row r="426" s="4" customFormat="1" x14ac:dyDescent="0.4"/>
    <row r="427" s="4" customFormat="1" x14ac:dyDescent="0.4"/>
    <row r="428" s="4" customFormat="1" x14ac:dyDescent="0.4"/>
    <row r="429" s="4" customFormat="1" x14ac:dyDescent="0.4"/>
    <row r="430" s="4" customFormat="1" x14ac:dyDescent="0.4"/>
    <row r="431" s="4" customFormat="1" x14ac:dyDescent="0.4"/>
    <row r="432" s="4" customFormat="1" x14ac:dyDescent="0.4"/>
    <row r="433" spans="3:43" s="4" customFormat="1" x14ac:dyDescent="0.4"/>
    <row r="434" spans="3:43" s="4" customFormat="1" x14ac:dyDescent="0.4"/>
    <row r="435" spans="3:43" s="4" customFormat="1" x14ac:dyDescent="0.4">
      <c r="C435" s="4" t="s">
        <v>16</v>
      </c>
      <c r="D435" s="4">
        <v>0</v>
      </c>
      <c r="E435" s="4">
        <v>1</v>
      </c>
      <c r="F435" s="4">
        <v>2</v>
      </c>
      <c r="G435" s="4">
        <v>3</v>
      </c>
      <c r="H435" s="4">
        <v>4</v>
      </c>
      <c r="I435" s="4">
        <v>5</v>
      </c>
      <c r="J435" s="4">
        <v>6</v>
      </c>
      <c r="K435" s="4">
        <v>7</v>
      </c>
      <c r="L435" s="4">
        <v>8</v>
      </c>
      <c r="M435" s="4">
        <v>9</v>
      </c>
      <c r="N435" s="4">
        <v>10</v>
      </c>
      <c r="O435" s="4">
        <v>11</v>
      </c>
      <c r="P435" s="4">
        <v>12</v>
      </c>
      <c r="Q435" s="4">
        <v>13</v>
      </c>
      <c r="R435" s="4">
        <v>14</v>
      </c>
      <c r="S435" s="4">
        <v>15</v>
      </c>
      <c r="T435" s="4">
        <v>16</v>
      </c>
      <c r="U435" s="4">
        <v>17</v>
      </c>
      <c r="V435" s="4">
        <v>18</v>
      </c>
      <c r="W435" s="4">
        <v>19</v>
      </c>
      <c r="X435" s="4">
        <v>20</v>
      </c>
      <c r="Y435" s="4">
        <v>21</v>
      </c>
      <c r="Z435" s="4">
        <v>22</v>
      </c>
      <c r="AA435" s="4">
        <v>23</v>
      </c>
      <c r="AB435" s="4">
        <v>24</v>
      </c>
      <c r="AC435" s="4">
        <v>25</v>
      </c>
      <c r="AD435" s="4">
        <v>26</v>
      </c>
      <c r="AE435" s="4">
        <v>27</v>
      </c>
      <c r="AF435" s="4">
        <v>28</v>
      </c>
      <c r="AG435" s="4">
        <v>29</v>
      </c>
      <c r="AH435" s="4">
        <v>30</v>
      </c>
      <c r="AI435" s="4">
        <v>31</v>
      </c>
      <c r="AJ435" s="4">
        <v>32</v>
      </c>
      <c r="AK435" s="4">
        <v>33</v>
      </c>
      <c r="AL435" s="4">
        <v>34</v>
      </c>
      <c r="AM435" s="4">
        <v>35</v>
      </c>
      <c r="AN435" s="4">
        <v>36</v>
      </c>
      <c r="AO435" s="4">
        <v>37</v>
      </c>
      <c r="AP435" s="4">
        <v>38</v>
      </c>
      <c r="AQ435" s="4">
        <v>39</v>
      </c>
    </row>
    <row r="436" spans="3:43" s="4" customFormat="1" x14ac:dyDescent="0.4">
      <c r="C436" s="4" t="s">
        <v>19</v>
      </c>
      <c r="E436" s="4">
        <v>603510788.92719698</v>
      </c>
      <c r="F436" s="4">
        <v>426586322.65119201</v>
      </c>
      <c r="G436" s="4">
        <v>339454088.21005702</v>
      </c>
      <c r="H436" s="4">
        <v>305607996.796992</v>
      </c>
      <c r="I436" s="4">
        <v>284381727.12806398</v>
      </c>
      <c r="J436" s="4">
        <v>263257755.436997</v>
      </c>
      <c r="K436" s="4">
        <v>243389912.44300601</v>
      </c>
      <c r="L436" s="4">
        <v>223851203.427573</v>
      </c>
      <c r="M436" s="4">
        <v>205507648.60808799</v>
      </c>
      <c r="N436" s="4">
        <v>187240346.427753</v>
      </c>
      <c r="O436" s="4">
        <v>170007990.68692899</v>
      </c>
      <c r="P436" s="4">
        <v>153881072.21319801</v>
      </c>
      <c r="Q436" s="4">
        <v>137275099.289148</v>
      </c>
      <c r="R436" s="4">
        <v>121835311.704584</v>
      </c>
      <c r="S436" s="4">
        <v>107421450.940092</v>
      </c>
      <c r="T436" s="4">
        <v>94591450.722479597</v>
      </c>
      <c r="U436" s="4">
        <v>82291044.403663099</v>
      </c>
      <c r="V436" s="4">
        <v>70907740.7453904</v>
      </c>
      <c r="W436" s="4">
        <v>60839341.913853303</v>
      </c>
      <c r="X436" s="4">
        <v>51841898.095808499</v>
      </c>
      <c r="Y436" s="4">
        <v>44409931.203661896</v>
      </c>
      <c r="Z436" s="4">
        <v>37772295.842056699</v>
      </c>
      <c r="AA436" s="4">
        <v>32370497.994850799</v>
      </c>
      <c r="AB436" s="4">
        <v>27822880.6580908</v>
      </c>
      <c r="AC436" s="4">
        <v>23978653.1664478</v>
      </c>
      <c r="AD436" s="4">
        <v>20550709.099045102</v>
      </c>
      <c r="AE436" s="4">
        <v>17485807.695255201</v>
      </c>
      <c r="AF436" s="4">
        <v>14854066.6235385</v>
      </c>
      <c r="AG436" s="4">
        <v>12664620.319695801</v>
      </c>
      <c r="AH436" s="4">
        <v>10812075.792872099</v>
      </c>
      <c r="AI436" s="4">
        <v>9339676.0067545399</v>
      </c>
      <c r="AJ436" s="4">
        <v>8073554.5050718598</v>
      </c>
      <c r="AK436" s="4">
        <v>6923969.5030775703</v>
      </c>
      <c r="AL436" s="4">
        <v>5924053.7963595903</v>
      </c>
      <c r="AM436" s="4">
        <v>5020486.5639212904</v>
      </c>
      <c r="AN436" s="4">
        <v>4233215.1150275096</v>
      </c>
      <c r="AO436" s="4">
        <v>3543673.3824994299</v>
      </c>
      <c r="AP436" s="4">
        <v>2938431.5317848902</v>
      </c>
      <c r="AQ436" s="4">
        <v>2442178.7757452601</v>
      </c>
    </row>
    <row r="437" spans="3:43" s="4" customFormat="1" x14ac:dyDescent="0.4">
      <c r="C437" s="4" t="s">
        <v>24</v>
      </c>
      <c r="E437" s="4">
        <v>601790232.252635</v>
      </c>
      <c r="F437" s="4">
        <v>429118875.56369001</v>
      </c>
      <c r="G437" s="4">
        <v>329624682.060709</v>
      </c>
      <c r="H437" s="4">
        <v>289342796.47593999</v>
      </c>
      <c r="I437" s="4">
        <v>263736348.516709</v>
      </c>
      <c r="J437" s="4">
        <v>240909158.11963099</v>
      </c>
      <c r="K437" s="4">
        <v>218953659.303341</v>
      </c>
      <c r="L437" s="4">
        <v>198183551.08523801</v>
      </c>
      <c r="M437" s="4">
        <v>178703297.078949</v>
      </c>
      <c r="N437" s="4">
        <v>161572423.818571</v>
      </c>
      <c r="O437" s="4">
        <v>146201367.295297</v>
      </c>
      <c r="P437" s="4">
        <v>131013620.650207</v>
      </c>
      <c r="Q437" s="4">
        <v>117111922.446052</v>
      </c>
      <c r="R437" s="4">
        <v>103702048.22124401</v>
      </c>
      <c r="S437" s="4">
        <v>91340682.656925902</v>
      </c>
      <c r="T437" s="4">
        <v>79925523.895727202</v>
      </c>
      <c r="U437" s="4">
        <v>69565287.277915806</v>
      </c>
      <c r="V437" s="4">
        <v>60186517.893375501</v>
      </c>
      <c r="W437" s="4">
        <v>51689764.315027699</v>
      </c>
      <c r="X437" s="4">
        <v>44403638.881894097</v>
      </c>
      <c r="Y437" s="4">
        <v>37821544.454760499</v>
      </c>
      <c r="Z437" s="4">
        <v>32395786.129798502</v>
      </c>
      <c r="AA437" s="4">
        <v>27756519.313669499</v>
      </c>
      <c r="AB437" s="4">
        <v>23705230.5994487</v>
      </c>
      <c r="AC437" s="4">
        <v>20061781.511893101</v>
      </c>
      <c r="AD437" s="4">
        <v>16913255.885768399</v>
      </c>
      <c r="AE437" s="4">
        <v>14262022.945625501</v>
      </c>
      <c r="AF437" s="4">
        <v>12109309.524669601</v>
      </c>
      <c r="AG437" s="4">
        <v>10315269.9372651</v>
      </c>
      <c r="AH437" s="4">
        <v>8874007.4018874895</v>
      </c>
      <c r="AI437" s="4">
        <v>7659872.6801610403</v>
      </c>
      <c r="AJ437" s="4">
        <v>6580357.2682713</v>
      </c>
      <c r="AK437" s="4">
        <v>5639339.7261395603</v>
      </c>
      <c r="AL437" s="4">
        <v>4820897.5222466895</v>
      </c>
      <c r="AM437" s="4">
        <v>4113784.2156404899</v>
      </c>
      <c r="AN437" s="4">
        <v>3493969.73105847</v>
      </c>
      <c r="AO437" s="4">
        <v>2955109.8646381502</v>
      </c>
      <c r="AP437" s="4">
        <v>2513524.4721347499</v>
      </c>
      <c r="AQ437" s="4">
        <v>2133478.2238014298</v>
      </c>
    </row>
    <row r="438" spans="3:43" s="4" customFormat="1" x14ac:dyDescent="0.4"/>
    <row r="439" spans="3:43" s="4" customFormat="1" x14ac:dyDescent="0.4">
      <c r="C439" s="5" t="s">
        <v>30</v>
      </c>
      <c r="D439" s="5">
        <v>0</v>
      </c>
      <c r="E439" s="5">
        <v>1</v>
      </c>
      <c r="F439" s="5">
        <v>2</v>
      </c>
      <c r="G439" s="5">
        <v>3</v>
      </c>
      <c r="H439" s="5">
        <v>4</v>
      </c>
      <c r="I439" s="5">
        <v>5</v>
      </c>
      <c r="J439" s="5">
        <v>6</v>
      </c>
      <c r="K439" s="5">
        <v>7</v>
      </c>
      <c r="L439" s="5">
        <v>8</v>
      </c>
      <c r="M439" s="5">
        <v>9</v>
      </c>
      <c r="N439" s="5">
        <v>10</v>
      </c>
      <c r="O439" s="5">
        <v>11</v>
      </c>
      <c r="P439" s="5">
        <v>12</v>
      </c>
      <c r="Q439" s="5">
        <v>13</v>
      </c>
      <c r="R439" s="5">
        <v>14</v>
      </c>
      <c r="S439" s="5">
        <v>15</v>
      </c>
      <c r="T439" s="5">
        <v>16</v>
      </c>
      <c r="U439" s="5">
        <v>17</v>
      </c>
      <c r="V439" s="5">
        <v>18</v>
      </c>
      <c r="W439" s="5">
        <v>19</v>
      </c>
      <c r="X439" s="5">
        <v>20</v>
      </c>
      <c r="Y439" s="5">
        <v>21</v>
      </c>
      <c r="Z439" s="5">
        <v>22</v>
      </c>
      <c r="AA439" s="5">
        <v>23</v>
      </c>
      <c r="AB439" s="5">
        <v>24</v>
      </c>
      <c r="AC439" s="5">
        <v>25</v>
      </c>
      <c r="AD439" s="5">
        <v>26</v>
      </c>
      <c r="AE439" s="5">
        <v>27</v>
      </c>
      <c r="AF439" s="5">
        <v>28</v>
      </c>
      <c r="AG439" s="5">
        <v>29</v>
      </c>
      <c r="AH439" s="5">
        <v>30</v>
      </c>
      <c r="AI439" s="5">
        <v>31</v>
      </c>
      <c r="AJ439" s="5">
        <v>32</v>
      </c>
      <c r="AK439" s="5">
        <v>33</v>
      </c>
      <c r="AL439" s="5">
        <v>34</v>
      </c>
      <c r="AM439" s="5">
        <v>35</v>
      </c>
      <c r="AN439" s="5">
        <v>36</v>
      </c>
      <c r="AO439" s="5">
        <v>37</v>
      </c>
      <c r="AP439" s="5">
        <v>38</v>
      </c>
      <c r="AQ439" s="5">
        <v>39</v>
      </c>
    </row>
    <row r="440" spans="3:43" s="4" customFormat="1" x14ac:dyDescent="0.4">
      <c r="C440" s="5" t="s">
        <v>19</v>
      </c>
      <c r="D440" s="5"/>
      <c r="E440" s="6" t="e">
        <f t="shared" ref="E440:AQ440" si="10">+E436/D$324</f>
        <v>#VALUE!</v>
      </c>
      <c r="F440" s="6">
        <f t="shared" si="10"/>
        <v>9.266760360148632E-2</v>
      </c>
      <c r="G440" s="6">
        <f t="shared" si="10"/>
        <v>8.3285183523714057E-2</v>
      </c>
      <c r="H440" s="6">
        <f t="shared" si="10"/>
        <v>8.532717317371899E-2</v>
      </c>
      <c r="I440" s="6">
        <f t="shared" si="10"/>
        <v>8.9221021452049479E-2</v>
      </c>
      <c r="J440" s="6">
        <f t="shared" si="10"/>
        <v>9.264566370845681E-2</v>
      </c>
      <c r="K440" s="6">
        <f t="shared" si="10"/>
        <v>9.4169977206468705E-2</v>
      </c>
      <c r="L440" s="6">
        <f t="shared" si="10"/>
        <v>9.491102226733289E-2</v>
      </c>
      <c r="M440" s="6">
        <f t="shared" si="10"/>
        <v>9.5205589353201558E-2</v>
      </c>
      <c r="N440" s="6">
        <f t="shared" si="10"/>
        <v>9.4919511341682791E-2</v>
      </c>
      <c r="O440" s="6">
        <f t="shared" si="10"/>
        <v>9.4768639894535114E-2</v>
      </c>
      <c r="P440" s="6">
        <f t="shared" si="10"/>
        <v>9.4186147966001374E-2</v>
      </c>
      <c r="Q440" s="6">
        <f t="shared" si="10"/>
        <v>9.3301061231834209E-2</v>
      </c>
      <c r="R440" s="6">
        <f t="shared" si="10"/>
        <v>9.2689847310677045E-2</v>
      </c>
      <c r="S440" s="6">
        <f t="shared" si="10"/>
        <v>9.2062307576753447E-2</v>
      </c>
      <c r="T440" s="6">
        <f t="shared" si="10"/>
        <v>9.1412150193196415E-2</v>
      </c>
      <c r="U440" s="6">
        <f t="shared" si="10"/>
        <v>9.0369290774712008E-2</v>
      </c>
      <c r="V440" s="6">
        <f t="shared" si="10"/>
        <v>8.9348356576337537E-2</v>
      </c>
      <c r="W440" s="6">
        <f t="shared" si="10"/>
        <v>8.7928760543706228E-2</v>
      </c>
      <c r="X440" s="6">
        <f t="shared" si="10"/>
        <v>8.6197191120506014E-2</v>
      </c>
      <c r="Y440" s="6">
        <f t="shared" si="10"/>
        <v>8.4588871777883934E-2</v>
      </c>
      <c r="Z440" s="6">
        <f t="shared" si="10"/>
        <v>8.225714008651365E-2</v>
      </c>
      <c r="AA440" s="6">
        <f t="shared" si="10"/>
        <v>8.0353393870785245E-2</v>
      </c>
      <c r="AB440" s="6">
        <f t="shared" si="10"/>
        <v>7.8206264003673115E-2</v>
      </c>
      <c r="AC440" s="6">
        <f t="shared" si="10"/>
        <v>7.7700381971393007E-2</v>
      </c>
      <c r="AD440" s="6">
        <f t="shared" si="10"/>
        <v>7.5564019852411235E-2</v>
      </c>
      <c r="AE440" s="6">
        <f t="shared" si="10"/>
        <v>7.3422989347032994E-2</v>
      </c>
      <c r="AF440" s="6">
        <f t="shared" si="10"/>
        <v>7.1168084752491145E-2</v>
      </c>
      <c r="AG440" s="6">
        <f t="shared" si="10"/>
        <v>6.9178823100683531E-2</v>
      </c>
      <c r="AH440" s="6">
        <f t="shared" si="10"/>
        <v>6.7593961470792677E-2</v>
      </c>
      <c r="AI440" s="6">
        <f t="shared" si="10"/>
        <v>6.6726636102276526E-2</v>
      </c>
      <c r="AJ440" s="6">
        <f t="shared" si="10"/>
        <v>6.5559226464519893E-2</v>
      </c>
      <c r="AK440" s="6">
        <f t="shared" si="10"/>
        <v>6.3828494593072341E-2</v>
      </c>
      <c r="AL440" s="6">
        <f t="shared" si="10"/>
        <v>6.2086742611922714E-2</v>
      </c>
      <c r="AM440" s="6">
        <f t="shared" si="10"/>
        <v>6.0111709038656452E-2</v>
      </c>
      <c r="AN440" s="6">
        <f t="shared" si="10"/>
        <v>5.7851412630741457E-2</v>
      </c>
      <c r="AO440" s="6">
        <f t="shared" si="10"/>
        <v>5.5560519202756585E-2</v>
      </c>
      <c r="AP440" s="6">
        <f t="shared" si="10"/>
        <v>5.2667043251550284E-2</v>
      </c>
      <c r="AQ440" s="6">
        <f t="shared" si="10"/>
        <v>4.990706981517435E-2</v>
      </c>
    </row>
    <row r="441" spans="3:43" s="4" customFormat="1" x14ac:dyDescent="0.4">
      <c r="C441" s="5" t="s">
        <v>24</v>
      </c>
      <c r="D441" s="5"/>
      <c r="E441" s="6">
        <f t="shared" ref="E441:AQ441" si="11">+E437/D$325</f>
        <v>0.11425758762499287</v>
      </c>
      <c r="F441" s="6">
        <f t="shared" si="11"/>
        <v>9.5974988126740865E-2</v>
      </c>
      <c r="G441" s="6">
        <f t="shared" si="11"/>
        <v>8.4977104523359867E-2</v>
      </c>
      <c r="H441" s="6">
        <f t="shared" si="11"/>
        <v>8.6390124247750485E-2</v>
      </c>
      <c r="I441" s="6">
        <f t="shared" si="11"/>
        <v>9.0542472482450162E-2</v>
      </c>
      <c r="J441" s="6">
        <f t="shared" si="11"/>
        <v>9.4227986662703392E-2</v>
      </c>
      <c r="K441" s="6">
        <f t="shared" si="11"/>
        <v>9.6408881785181144E-2</v>
      </c>
      <c r="L441" s="6">
        <f t="shared" si="11"/>
        <v>9.6790326499724327E-2</v>
      </c>
      <c r="M441" s="6">
        <f t="shared" si="11"/>
        <v>9.6547850983043207E-2</v>
      </c>
      <c r="N441" s="6">
        <f t="shared" si="11"/>
        <v>9.6535794293000549E-2</v>
      </c>
      <c r="O441" s="6">
        <f t="shared" si="11"/>
        <v>9.6080202293028646E-2</v>
      </c>
      <c r="P441" s="6">
        <f t="shared" si="11"/>
        <v>9.5302481015467178E-2</v>
      </c>
      <c r="Q441" s="6">
        <f t="shared" si="11"/>
        <v>9.4761477198965188E-2</v>
      </c>
      <c r="R441" s="6">
        <f t="shared" si="11"/>
        <v>9.3934974949714284E-2</v>
      </c>
      <c r="S441" s="6">
        <f t="shared" si="11"/>
        <v>9.3085516701618382E-2</v>
      </c>
      <c r="T441" s="6">
        <f t="shared" si="11"/>
        <v>9.2505734145064772E-2</v>
      </c>
      <c r="U441" s="6">
        <f t="shared" si="11"/>
        <v>9.2393126202551468E-2</v>
      </c>
      <c r="V441" s="6">
        <f t="shared" si="11"/>
        <v>9.1951960814274869E-2</v>
      </c>
      <c r="W441" s="6">
        <f t="shared" si="11"/>
        <v>9.0868246197412586E-2</v>
      </c>
      <c r="X441" s="6">
        <f t="shared" si="11"/>
        <v>8.9832841164790997E-2</v>
      </c>
      <c r="Y441" s="6">
        <f t="shared" si="11"/>
        <v>8.825007018115659E-2</v>
      </c>
      <c r="Z441" s="6">
        <f t="shared" si="11"/>
        <v>8.6985555903841119E-2</v>
      </c>
      <c r="AA441" s="6">
        <f t="shared" si="11"/>
        <v>8.4891228359536774E-2</v>
      </c>
      <c r="AB441" s="6">
        <f t="shared" si="11"/>
        <v>8.2268234653781649E-2</v>
      </c>
      <c r="AC441" s="6">
        <f t="shared" si="11"/>
        <v>7.8853766391592223E-2</v>
      </c>
      <c r="AD441" s="6">
        <f t="shared" si="11"/>
        <v>7.5660744577766587E-2</v>
      </c>
      <c r="AE441" s="6">
        <f t="shared" si="11"/>
        <v>7.2310677710182875E-2</v>
      </c>
      <c r="AF441" s="6">
        <f t="shared" si="11"/>
        <v>6.9699275473365491E-2</v>
      </c>
      <c r="AG441" s="6">
        <f t="shared" si="11"/>
        <v>6.6712611527980248E-2</v>
      </c>
      <c r="AH441" s="6">
        <f t="shared" si="11"/>
        <v>6.6950359456039527E-2</v>
      </c>
      <c r="AI441" s="6">
        <f t="shared" si="11"/>
        <v>6.4911216764139731E-2</v>
      </c>
      <c r="AJ441" s="6">
        <f t="shared" si="11"/>
        <v>6.2886324627899198E-2</v>
      </c>
      <c r="AK441" s="6">
        <f t="shared" si="11"/>
        <v>6.0427812254370675E-2</v>
      </c>
      <c r="AL441" s="6">
        <f t="shared" si="11"/>
        <v>5.8106097480806702E-2</v>
      </c>
      <c r="AM441" s="6">
        <f t="shared" si="11"/>
        <v>5.621356244438578E-2</v>
      </c>
      <c r="AN441" s="6">
        <f t="shared" si="11"/>
        <v>5.4860418670768754E-2</v>
      </c>
      <c r="AO441" s="6">
        <f t="shared" si="11"/>
        <v>5.4628883703318587E-2</v>
      </c>
      <c r="AP441" s="6">
        <f t="shared" si="11"/>
        <v>5.3635241427899515E-2</v>
      </c>
      <c r="AQ441" s="6">
        <f t="shared" si="11"/>
        <v>5.327438440602169E-2</v>
      </c>
    </row>
    <row r="442" spans="3:43" s="4" customFormat="1" x14ac:dyDescent="0.4"/>
    <row r="443" spans="3:43" s="4" customFormat="1" x14ac:dyDescent="0.4"/>
    <row r="444" spans="3:43" s="4" customFormat="1" x14ac:dyDescent="0.4">
      <c r="C444" s="4" t="s">
        <v>17</v>
      </c>
      <c r="D444" s="4">
        <v>0</v>
      </c>
      <c r="E444" s="4">
        <v>1</v>
      </c>
      <c r="F444" s="4">
        <v>2</v>
      </c>
      <c r="G444" s="4">
        <v>3</v>
      </c>
      <c r="H444" s="4">
        <v>4</v>
      </c>
      <c r="I444" s="4">
        <v>5</v>
      </c>
      <c r="J444" s="4">
        <v>6</v>
      </c>
      <c r="K444" s="4">
        <v>7</v>
      </c>
      <c r="L444" s="4">
        <v>8</v>
      </c>
      <c r="M444" s="4">
        <v>9</v>
      </c>
      <c r="N444" s="4">
        <v>10</v>
      </c>
      <c r="O444" s="4">
        <v>11</v>
      </c>
      <c r="P444" s="4">
        <v>12</v>
      </c>
      <c r="Q444" s="4">
        <v>13</v>
      </c>
      <c r="R444" s="4">
        <v>14</v>
      </c>
      <c r="S444" s="4">
        <v>15</v>
      </c>
      <c r="T444" s="4">
        <v>16</v>
      </c>
      <c r="U444" s="4">
        <v>17</v>
      </c>
      <c r="V444" s="4">
        <v>18</v>
      </c>
      <c r="W444" s="4">
        <v>19</v>
      </c>
      <c r="X444" s="4">
        <v>20</v>
      </c>
      <c r="Y444" s="4">
        <v>21</v>
      </c>
      <c r="Z444" s="4">
        <v>22</v>
      </c>
      <c r="AA444" s="4">
        <v>23</v>
      </c>
      <c r="AB444" s="4">
        <v>24</v>
      </c>
      <c r="AC444" s="4">
        <v>25</v>
      </c>
      <c r="AD444" s="4">
        <v>26</v>
      </c>
      <c r="AE444" s="4">
        <v>27</v>
      </c>
      <c r="AF444" s="4">
        <v>28</v>
      </c>
      <c r="AG444" s="4">
        <v>29</v>
      </c>
      <c r="AH444" s="4">
        <v>30</v>
      </c>
      <c r="AI444" s="4">
        <v>31</v>
      </c>
      <c r="AJ444" s="4">
        <v>32</v>
      </c>
      <c r="AK444" s="4">
        <v>33</v>
      </c>
      <c r="AL444" s="4">
        <v>34</v>
      </c>
      <c r="AM444" s="4">
        <v>35</v>
      </c>
      <c r="AN444" s="4">
        <v>36</v>
      </c>
      <c r="AO444" s="4">
        <v>37</v>
      </c>
      <c r="AP444" s="4">
        <v>38</v>
      </c>
      <c r="AQ444" s="4">
        <v>39</v>
      </c>
    </row>
    <row r="445" spans="3:43" s="4" customFormat="1" x14ac:dyDescent="0.4">
      <c r="C445" s="4" t="s">
        <v>19</v>
      </c>
      <c r="E445" s="4">
        <v>319886295.37276697</v>
      </c>
      <c r="F445" s="4">
        <v>292993186.63244897</v>
      </c>
      <c r="G445" s="4">
        <v>273974988.40685397</v>
      </c>
      <c r="H445" s="4">
        <v>256925523.13374501</v>
      </c>
      <c r="I445" s="4">
        <v>240687540.68105799</v>
      </c>
      <c r="J445" s="4">
        <v>224834583.010488</v>
      </c>
      <c r="K445" s="4">
        <v>209043139.470559</v>
      </c>
      <c r="L445" s="4">
        <v>193496766.48362699</v>
      </c>
      <c r="M445" s="4">
        <v>178592919.66952601</v>
      </c>
      <c r="N445" s="4">
        <v>163513532.55054301</v>
      </c>
      <c r="O445" s="4">
        <v>149126633.55509099</v>
      </c>
      <c r="P445" s="4">
        <v>135505576.207131</v>
      </c>
      <c r="Q445" s="4">
        <v>121476748.718623</v>
      </c>
      <c r="R445" s="4">
        <v>108250335.26168799</v>
      </c>
      <c r="S445" s="4">
        <v>95789119.250277504</v>
      </c>
      <c r="T445" s="4">
        <v>84589665.508729994</v>
      </c>
      <c r="U445" s="4">
        <v>73730734.576544806</v>
      </c>
      <c r="V445" s="4">
        <v>63710944.891454101</v>
      </c>
      <c r="W445" s="4">
        <v>54816073.024388403</v>
      </c>
      <c r="X445" s="4">
        <v>46840583.519437902</v>
      </c>
      <c r="Y445" s="4">
        <v>40218076.166106403</v>
      </c>
      <c r="Z445" s="4">
        <v>34308044.870956898</v>
      </c>
      <c r="AA445" s="4">
        <v>29473048.958616398</v>
      </c>
      <c r="AB445" s="4">
        <v>25401825.276986599</v>
      </c>
      <c r="AC445" s="4">
        <v>21951000.2233609</v>
      </c>
      <c r="AD445" s="4">
        <v>18867219.741648499</v>
      </c>
      <c r="AE445" s="4">
        <v>16105366.4663854</v>
      </c>
      <c r="AF445" s="4">
        <v>13724714.9373568</v>
      </c>
      <c r="AG445" s="4">
        <v>11736068.368993299</v>
      </c>
      <c r="AH445" s="4">
        <v>10044617.373782599</v>
      </c>
      <c r="AI445" s="4">
        <v>8692500.0597564708</v>
      </c>
      <c r="AJ445" s="4">
        <v>7526220.9204534898</v>
      </c>
      <c r="AK445" s="4">
        <v>6466166.4477118598</v>
      </c>
      <c r="AL445" s="4">
        <v>5542712.4423458297</v>
      </c>
      <c r="AM445" s="4">
        <v>4705983.8911826499</v>
      </c>
      <c r="AN445" s="4">
        <v>3974809.7074247501</v>
      </c>
      <c r="AO445" s="4">
        <v>3333055.7426672801</v>
      </c>
      <c r="AP445" s="4">
        <v>2769350.5656823399</v>
      </c>
      <c r="AQ445" s="4">
        <v>2305325.7264314801</v>
      </c>
    </row>
    <row r="446" spans="3:43" s="4" customFormat="1" x14ac:dyDescent="0.4">
      <c r="C446" s="4" t="s">
        <v>24</v>
      </c>
      <c r="E446" s="4">
        <v>291698250.996068</v>
      </c>
      <c r="F446" s="4">
        <v>263526819.80870599</v>
      </c>
      <c r="G446" s="4">
        <v>242493994.69293001</v>
      </c>
      <c r="H446" s="4">
        <v>224185759.56990799</v>
      </c>
      <c r="I446" s="4">
        <v>207563475.30553499</v>
      </c>
      <c r="J446" s="4">
        <v>191589281.530617</v>
      </c>
      <c r="K446" s="4">
        <v>176150476.10639</v>
      </c>
      <c r="L446" s="4">
        <v>161057044.098052</v>
      </c>
      <c r="M446" s="4">
        <v>146680298.25276199</v>
      </c>
      <c r="N446" s="4">
        <v>133656677.85351001</v>
      </c>
      <c r="O446" s="4">
        <v>121718952.833327</v>
      </c>
      <c r="P446" s="4">
        <v>109985558.758045</v>
      </c>
      <c r="Q446" s="4">
        <v>98941339.689073205</v>
      </c>
      <c r="R446" s="4">
        <v>88147958.494913504</v>
      </c>
      <c r="S446" s="4">
        <v>78258722.866689295</v>
      </c>
      <c r="T446" s="4">
        <v>68869861.919250593</v>
      </c>
      <c r="U446" s="4">
        <v>60208314.325481303</v>
      </c>
      <c r="V446" s="4">
        <v>52311583.429473899</v>
      </c>
      <c r="W446" s="4">
        <v>45142807.774096496</v>
      </c>
      <c r="X446" s="4">
        <v>38905119.164606102</v>
      </c>
      <c r="Y446" s="4">
        <v>33267534.002092499</v>
      </c>
      <c r="Z446" s="4">
        <v>28579943.980120499</v>
      </c>
      <c r="AA446" s="4">
        <v>24582888.486779898</v>
      </c>
      <c r="AB446" s="4">
        <v>21067180.999562599</v>
      </c>
      <c r="AC446" s="4">
        <v>17901696.396601301</v>
      </c>
      <c r="AD446" s="4">
        <v>15161029.064361</v>
      </c>
      <c r="AE446" s="4">
        <v>12834783.8965188</v>
      </c>
      <c r="AF446" s="4">
        <v>10938683.2736567</v>
      </c>
      <c r="AG446" s="4">
        <v>9348601.4633272309</v>
      </c>
      <c r="AH446" s="4">
        <v>8065794.9687966499</v>
      </c>
      <c r="AI446" s="4">
        <v>6982305.7800339097</v>
      </c>
      <c r="AJ446" s="4">
        <v>6017096.7442341503</v>
      </c>
      <c r="AK446" s="4">
        <v>5172596.5673644701</v>
      </c>
      <c r="AL446" s="4">
        <v>4436770.0674113296</v>
      </c>
      <c r="AM446" s="4">
        <v>3798005.3330083699</v>
      </c>
      <c r="AN446" s="4">
        <v>3236764.8108026199</v>
      </c>
      <c r="AO446" s="4">
        <v>2747841.7642432</v>
      </c>
      <c r="AP446" s="4">
        <v>2345408.3625350599</v>
      </c>
      <c r="AQ446" s="4">
        <v>1997374.49437456</v>
      </c>
    </row>
    <row r="447" spans="3:43" s="4" customFormat="1" x14ac:dyDescent="0.4"/>
    <row r="448" spans="3:43" s="4" customFormat="1" x14ac:dyDescent="0.4">
      <c r="C448" s="5" t="s">
        <v>31</v>
      </c>
      <c r="D448" s="5">
        <v>0</v>
      </c>
      <c r="E448" s="5">
        <v>1</v>
      </c>
      <c r="F448" s="5">
        <v>2</v>
      </c>
      <c r="G448" s="5">
        <v>3</v>
      </c>
      <c r="H448" s="5">
        <v>4</v>
      </c>
      <c r="I448" s="5">
        <v>5</v>
      </c>
      <c r="J448" s="5">
        <v>6</v>
      </c>
      <c r="K448" s="5">
        <v>7</v>
      </c>
      <c r="L448" s="5">
        <v>8</v>
      </c>
      <c r="M448" s="5">
        <v>9</v>
      </c>
      <c r="N448" s="5">
        <v>10</v>
      </c>
      <c r="O448" s="5">
        <v>11</v>
      </c>
      <c r="P448" s="5">
        <v>12</v>
      </c>
      <c r="Q448" s="5">
        <v>13</v>
      </c>
      <c r="R448" s="5">
        <v>14</v>
      </c>
      <c r="S448" s="5">
        <v>15</v>
      </c>
      <c r="T448" s="5">
        <v>16</v>
      </c>
      <c r="U448" s="5">
        <v>17</v>
      </c>
      <c r="V448" s="5">
        <v>18</v>
      </c>
      <c r="W448" s="5">
        <v>19</v>
      </c>
      <c r="X448" s="5">
        <v>20</v>
      </c>
      <c r="Y448" s="5">
        <v>21</v>
      </c>
      <c r="Z448" s="5">
        <v>22</v>
      </c>
      <c r="AA448" s="5">
        <v>23</v>
      </c>
      <c r="AB448" s="5">
        <v>24</v>
      </c>
      <c r="AC448" s="5">
        <v>25</v>
      </c>
      <c r="AD448" s="5">
        <v>26</v>
      </c>
      <c r="AE448" s="5">
        <v>27</v>
      </c>
      <c r="AF448" s="5">
        <v>28</v>
      </c>
      <c r="AG448" s="5">
        <v>29</v>
      </c>
      <c r="AH448" s="5">
        <v>30</v>
      </c>
      <c r="AI448" s="5">
        <v>31</v>
      </c>
      <c r="AJ448" s="5">
        <v>32</v>
      </c>
      <c r="AK448" s="5">
        <v>33</v>
      </c>
      <c r="AL448" s="5">
        <v>34</v>
      </c>
      <c r="AM448" s="5">
        <v>35</v>
      </c>
      <c r="AN448" s="5">
        <v>36</v>
      </c>
      <c r="AO448" s="5">
        <v>37</v>
      </c>
      <c r="AP448" s="5">
        <v>38</v>
      </c>
      <c r="AQ448" s="5">
        <v>39</v>
      </c>
    </row>
    <row r="449" spans="3:43" s="4" customFormat="1" x14ac:dyDescent="0.4">
      <c r="C449" s="5" t="s">
        <v>19</v>
      </c>
      <c r="D449" s="5"/>
      <c r="E449" s="6" t="e">
        <f t="shared" ref="E449:AQ449" si="12">+E445/D$324</f>
        <v>#VALUE!</v>
      </c>
      <c r="F449" s="6">
        <f t="shared" si="12"/>
        <v>6.3647086263927635E-2</v>
      </c>
      <c r="G449" s="6">
        <f t="shared" si="12"/>
        <v>6.7219862664468069E-2</v>
      </c>
      <c r="H449" s="6">
        <f t="shared" si="12"/>
        <v>7.1734800250479513E-2</v>
      </c>
      <c r="I449" s="6">
        <f t="shared" si="12"/>
        <v>7.5512545926255198E-2</v>
      </c>
      <c r="J449" s="6">
        <f t="shared" si="12"/>
        <v>7.9123781683255387E-2</v>
      </c>
      <c r="K449" s="6">
        <f t="shared" si="12"/>
        <v>8.088086922551041E-2</v>
      </c>
      <c r="L449" s="6">
        <f t="shared" si="12"/>
        <v>8.2040997015798561E-2</v>
      </c>
      <c r="M449" s="6">
        <f t="shared" si="12"/>
        <v>8.2736794891132018E-2</v>
      </c>
      <c r="N449" s="6">
        <f t="shared" si="12"/>
        <v>8.289145423814169E-2</v>
      </c>
      <c r="O449" s="6">
        <f t="shared" si="12"/>
        <v>8.3128611643271955E-2</v>
      </c>
      <c r="P449" s="6">
        <f t="shared" si="12"/>
        <v>8.2939039007868864E-2</v>
      </c>
      <c r="Q449" s="6">
        <f t="shared" si="12"/>
        <v>8.2563477492500786E-2</v>
      </c>
      <c r="R449" s="6">
        <f t="shared" si="12"/>
        <v>8.2354671288274353E-2</v>
      </c>
      <c r="S449" s="6">
        <f t="shared" si="12"/>
        <v>8.2093169304177427E-2</v>
      </c>
      <c r="T449" s="6">
        <f t="shared" si="12"/>
        <v>8.1746533637195223E-2</v>
      </c>
      <c r="U449" s="6">
        <f t="shared" si="12"/>
        <v>8.0968642946088243E-2</v>
      </c>
      <c r="V449" s="6">
        <f t="shared" si="12"/>
        <v>8.0279926593868955E-2</v>
      </c>
      <c r="W449" s="6">
        <f t="shared" si="12"/>
        <v>7.9223561716571661E-2</v>
      </c>
      <c r="X449" s="6">
        <f t="shared" si="12"/>
        <v>7.788153748459016E-2</v>
      </c>
      <c r="Y449" s="6">
        <f t="shared" si="12"/>
        <v>7.6604525063696263E-2</v>
      </c>
      <c r="Z449" s="6">
        <f t="shared" si="12"/>
        <v>7.4713003012713761E-2</v>
      </c>
      <c r="AA449" s="6">
        <f t="shared" si="12"/>
        <v>7.316104657770052E-2</v>
      </c>
      <c r="AB449" s="6">
        <f t="shared" si="12"/>
        <v>7.1401012648541096E-2</v>
      </c>
      <c r="AC449" s="6">
        <f t="shared" si="12"/>
        <v>7.1129979243197958E-2</v>
      </c>
      <c r="AD449" s="6">
        <f t="shared" si="12"/>
        <v>6.9373906284527054E-2</v>
      </c>
      <c r="AE449" s="6">
        <f t="shared" si="12"/>
        <v>6.7626510087512387E-2</v>
      </c>
      <c r="AF449" s="6">
        <f t="shared" si="12"/>
        <v>6.5757189638409486E-2</v>
      </c>
      <c r="AG449" s="6">
        <f t="shared" si="12"/>
        <v>6.4106730174412069E-2</v>
      </c>
      <c r="AH449" s="6">
        <f t="shared" si="12"/>
        <v>6.2796034060353112E-2</v>
      </c>
      <c r="AI449" s="6">
        <f t="shared" si="12"/>
        <v>6.2102934607893276E-2</v>
      </c>
      <c r="AJ449" s="6">
        <f t="shared" si="12"/>
        <v>6.1114744619120642E-2</v>
      </c>
      <c r="AK449" s="6">
        <f t="shared" si="12"/>
        <v>5.9608244947097717E-2</v>
      </c>
      <c r="AL449" s="6">
        <f t="shared" si="12"/>
        <v>5.8090114068730922E-2</v>
      </c>
      <c r="AM449" s="6">
        <f t="shared" si="12"/>
        <v>5.6346079370129101E-2</v>
      </c>
      <c r="AN449" s="6">
        <f t="shared" si="12"/>
        <v>5.4320026330958525E-2</v>
      </c>
      <c r="AO449" s="6">
        <f t="shared" si="12"/>
        <v>5.2258288957688193E-2</v>
      </c>
      <c r="AP449" s="6">
        <f t="shared" si="12"/>
        <v>4.9636516775635506E-2</v>
      </c>
      <c r="AQ449" s="6">
        <f t="shared" si="12"/>
        <v>4.7110413503869672E-2</v>
      </c>
    </row>
    <row r="450" spans="3:43" s="4" customFormat="1" x14ac:dyDescent="0.4">
      <c r="C450" s="5" t="s">
        <v>24</v>
      </c>
      <c r="D450" s="5"/>
      <c r="E450" s="6">
        <f t="shared" ref="E450:AQ450" si="13">+E446/D$325</f>
        <v>5.5382651108316437E-2</v>
      </c>
      <c r="F450" s="6">
        <f t="shared" si="13"/>
        <v>5.8939340221272757E-2</v>
      </c>
      <c r="G450" s="6">
        <f t="shared" si="13"/>
        <v>6.2514849933212754E-2</v>
      </c>
      <c r="H450" s="6">
        <f t="shared" si="13"/>
        <v>6.6935952301930376E-2</v>
      </c>
      <c r="I450" s="6">
        <f t="shared" si="13"/>
        <v>7.1257945129328565E-2</v>
      </c>
      <c r="J450" s="6">
        <f t="shared" si="13"/>
        <v>7.4937260192570535E-2</v>
      </c>
      <c r="K450" s="6">
        <f t="shared" si="13"/>
        <v>7.7561939276916181E-2</v>
      </c>
      <c r="L450" s="6">
        <f t="shared" si="13"/>
        <v>7.8658212540688013E-2</v>
      </c>
      <c r="M450" s="6">
        <f t="shared" si="13"/>
        <v>7.9246817542485179E-2</v>
      </c>
      <c r="N450" s="6">
        <f t="shared" si="13"/>
        <v>7.9856780347868153E-2</v>
      </c>
      <c r="O450" s="6">
        <f t="shared" si="13"/>
        <v>7.9990918193675931E-2</v>
      </c>
      <c r="P450" s="6">
        <f t="shared" si="13"/>
        <v>8.0006159462608306E-2</v>
      </c>
      <c r="Q450" s="6">
        <f t="shared" si="13"/>
        <v>8.005869350578021E-2</v>
      </c>
      <c r="R450" s="6">
        <f t="shared" si="13"/>
        <v>7.9845831544452656E-2</v>
      </c>
      <c r="S450" s="6">
        <f t="shared" si="13"/>
        <v>7.9753658967230898E-2</v>
      </c>
      <c r="T450" s="6">
        <f t="shared" si="13"/>
        <v>7.9709920270539511E-2</v>
      </c>
      <c r="U450" s="6">
        <f t="shared" si="13"/>
        <v>7.9965663933699568E-2</v>
      </c>
      <c r="V450" s="6">
        <f t="shared" si="13"/>
        <v>7.9920766942542951E-2</v>
      </c>
      <c r="W450" s="6">
        <f t="shared" si="13"/>
        <v>7.9358995445573899E-2</v>
      </c>
      <c r="X450" s="6">
        <f t="shared" si="13"/>
        <v>7.8708805818984803E-2</v>
      </c>
      <c r="Y450" s="6">
        <f t="shared" si="13"/>
        <v>7.7624069898846945E-2</v>
      </c>
      <c r="Z450" s="6">
        <f t="shared" si="13"/>
        <v>7.6739681662631162E-2</v>
      </c>
      <c r="AA450" s="6">
        <f t="shared" si="13"/>
        <v>7.518491698058552E-2</v>
      </c>
      <c r="AB450" s="6">
        <f t="shared" si="13"/>
        <v>7.3112969000437122E-2</v>
      </c>
      <c r="AC450" s="6">
        <f t="shared" si="13"/>
        <v>7.0363451263486629E-2</v>
      </c>
      <c r="AD450" s="6">
        <f t="shared" si="13"/>
        <v>6.7822230995744123E-2</v>
      </c>
      <c r="AE450" s="6">
        <f t="shared" si="13"/>
        <v>6.5074353432146445E-2</v>
      </c>
      <c r="AF450" s="6">
        <f t="shared" si="13"/>
        <v>6.2961335429841211E-2</v>
      </c>
      <c r="AG450" s="6">
        <f t="shared" si="13"/>
        <v>6.0460814069419451E-2</v>
      </c>
      <c r="AH450" s="6">
        <f t="shared" si="13"/>
        <v>6.0852763357487384E-2</v>
      </c>
      <c r="AI450" s="6">
        <f t="shared" si="13"/>
        <v>5.9169386088511106E-2</v>
      </c>
      <c r="AJ450" s="6">
        <f t="shared" si="13"/>
        <v>5.7503427815370017E-2</v>
      </c>
      <c r="AK450" s="6">
        <f t="shared" si="13"/>
        <v>5.5426470015891904E-2</v>
      </c>
      <c r="AL450" s="6">
        <f t="shared" si="13"/>
        <v>5.3476223638287079E-2</v>
      </c>
      <c r="AM450" s="6">
        <f t="shared" si="13"/>
        <v>5.1898543715408689E-2</v>
      </c>
      <c r="AN450" s="6">
        <f t="shared" si="13"/>
        <v>5.0821926441145748E-2</v>
      </c>
      <c r="AO450" s="6">
        <f t="shared" si="13"/>
        <v>5.0797274906848357E-2</v>
      </c>
      <c r="AP450" s="6">
        <f t="shared" si="13"/>
        <v>5.0047869104191664E-2</v>
      </c>
      <c r="AQ450" s="6">
        <f t="shared" si="13"/>
        <v>4.9875782854954212E-2</v>
      </c>
    </row>
    <row r="451" spans="3:43" s="4" customFormat="1" x14ac:dyDescent="0.4"/>
    <row r="452" spans="3:43" s="4" customFormat="1" x14ac:dyDescent="0.4"/>
    <row r="453" spans="3:43" s="4" customFormat="1" x14ac:dyDescent="0.4"/>
    <row r="454" spans="3:43" s="4" customFormat="1" x14ac:dyDescent="0.4"/>
    <row r="455" spans="3:43" s="4" customFormat="1" x14ac:dyDescent="0.4"/>
    <row r="456" spans="3:43" s="4" customFormat="1" x14ac:dyDescent="0.4"/>
    <row r="457" spans="3:43" s="4" customFormat="1" x14ac:dyDescent="0.4"/>
    <row r="458" spans="3:43" s="4" customFormat="1" x14ac:dyDescent="0.4"/>
    <row r="459" spans="3:43" s="4" customFormat="1" x14ac:dyDescent="0.4"/>
    <row r="460" spans="3:43" s="4" customFormat="1" x14ac:dyDescent="0.4"/>
    <row r="461" spans="3:43" s="4" customFormat="1" x14ac:dyDescent="0.4"/>
    <row r="462" spans="3:43" s="4" customFormat="1" x14ac:dyDescent="0.4"/>
    <row r="463" spans="3:43" s="4" customFormat="1" x14ac:dyDescent="0.4"/>
    <row r="464" spans="3:43" s="4" customFormat="1" x14ac:dyDescent="0.4"/>
    <row r="465" s="4" customFormat="1" x14ac:dyDescent="0.4"/>
    <row r="466" s="4" customFormat="1" x14ac:dyDescent="0.4"/>
    <row r="467" s="4" customFormat="1" x14ac:dyDescent="0.4"/>
    <row r="468" s="4" customFormat="1" x14ac:dyDescent="0.4"/>
    <row r="469" s="4" customFormat="1" x14ac:dyDescent="0.4"/>
    <row r="470" s="4" customFormat="1" x14ac:dyDescent="0.4"/>
    <row r="471" s="4" customFormat="1" x14ac:dyDescent="0.4"/>
    <row r="472" s="4" customFormat="1" x14ac:dyDescent="0.4"/>
    <row r="473" s="4" customFormat="1" x14ac:dyDescent="0.4"/>
    <row r="474" s="4" customFormat="1" x14ac:dyDescent="0.4"/>
    <row r="475" s="4" customFormat="1" x14ac:dyDescent="0.4"/>
    <row r="476" s="4" customFormat="1" x14ac:dyDescent="0.4"/>
    <row r="477" s="4" customFormat="1" x14ac:dyDescent="0.4"/>
    <row r="478" s="4" customFormat="1" x14ac:dyDescent="0.4"/>
    <row r="479" s="4" customFormat="1" x14ac:dyDescent="0.4"/>
    <row r="480" s="4" customFormat="1" x14ac:dyDescent="0.4"/>
    <row r="481" s="4" customFormat="1" x14ac:dyDescent="0.4"/>
    <row r="482" s="4" customFormat="1" x14ac:dyDescent="0.4"/>
    <row r="483" s="4" customFormat="1" x14ac:dyDescent="0.4"/>
    <row r="484" s="4" customFormat="1" x14ac:dyDescent="0.4"/>
    <row r="485" s="4" customFormat="1" x14ac:dyDescent="0.4"/>
    <row r="486" s="4" customFormat="1" x14ac:dyDescent="0.4"/>
    <row r="487" s="4" customFormat="1" x14ac:dyDescent="0.4"/>
    <row r="488" s="4" customFormat="1" x14ac:dyDescent="0.4"/>
    <row r="489" s="4" customFormat="1" x14ac:dyDescent="0.4"/>
    <row r="490" s="4" customFormat="1" x14ac:dyDescent="0.4"/>
    <row r="491" s="4" customFormat="1" x14ac:dyDescent="0.4"/>
    <row r="492" s="4" customFormat="1" x14ac:dyDescent="0.4"/>
    <row r="493" s="4" customFormat="1" x14ac:dyDescent="0.4"/>
    <row r="494" s="4" customFormat="1" x14ac:dyDescent="0.4"/>
    <row r="495" s="4" customFormat="1" x14ac:dyDescent="0.4"/>
    <row r="496" s="4" customFormat="1" x14ac:dyDescent="0.4"/>
    <row r="497" s="4" customFormat="1" x14ac:dyDescent="0.4"/>
    <row r="498" s="4" customFormat="1" x14ac:dyDescent="0.4"/>
    <row r="499" s="4" customFormat="1" x14ac:dyDescent="0.4"/>
    <row r="500" s="4" customFormat="1" x14ac:dyDescent="0.4"/>
    <row r="501" s="4" customFormat="1" x14ac:dyDescent="0.4"/>
    <row r="502" s="4" customFormat="1" x14ac:dyDescent="0.4"/>
    <row r="503" s="4" customFormat="1" x14ac:dyDescent="0.4"/>
    <row r="504" s="4" customFormat="1" x14ac:dyDescent="0.4"/>
    <row r="505" s="4" customFormat="1" x14ac:dyDescent="0.4"/>
    <row r="506" s="4" customFormat="1" x14ac:dyDescent="0.4"/>
    <row r="507" s="4" customFormat="1" x14ac:dyDescent="0.4"/>
    <row r="508" s="4" customFormat="1" x14ac:dyDescent="0.4"/>
    <row r="509" s="4" customFormat="1" x14ac:dyDescent="0.4"/>
    <row r="510" s="4" customFormat="1" x14ac:dyDescent="0.4"/>
    <row r="511" s="4" customFormat="1" x14ac:dyDescent="0.4"/>
    <row r="512" s="4" customFormat="1" x14ac:dyDescent="0.4"/>
    <row r="513" s="4" customFormat="1" x14ac:dyDescent="0.4"/>
    <row r="514" s="4" customFormat="1" x14ac:dyDescent="0.4"/>
    <row r="515" s="4" customFormat="1" x14ac:dyDescent="0.4"/>
    <row r="516" s="4" customFormat="1" x14ac:dyDescent="0.4"/>
    <row r="517" s="4" customFormat="1" x14ac:dyDescent="0.4"/>
    <row r="518" s="4" customFormat="1" x14ac:dyDescent="0.4"/>
    <row r="519" s="4" customFormat="1" x14ac:dyDescent="0.4"/>
    <row r="520" s="4" customFormat="1" x14ac:dyDescent="0.4"/>
    <row r="521" s="4" customFormat="1" x14ac:dyDescent="0.4"/>
    <row r="522" s="4" customFormat="1" x14ac:dyDescent="0.4"/>
    <row r="523" s="4" customFormat="1" x14ac:dyDescent="0.4"/>
    <row r="524" s="4" customFormat="1" x14ac:dyDescent="0.4"/>
    <row r="525" s="4" customFormat="1" x14ac:dyDescent="0.4"/>
    <row r="526" s="4" customFormat="1" x14ac:dyDescent="0.4"/>
    <row r="527" s="4" customFormat="1" x14ac:dyDescent="0.4"/>
    <row r="528" s="4" customFormat="1" x14ac:dyDescent="0.4"/>
    <row r="529" s="4" customFormat="1" x14ac:dyDescent="0.4"/>
    <row r="530" s="4" customFormat="1" x14ac:dyDescent="0.4"/>
    <row r="531" s="4" customFormat="1" x14ac:dyDescent="0.4"/>
    <row r="532" s="4" customFormat="1" x14ac:dyDescent="0.4"/>
    <row r="533" s="4" customFormat="1" x14ac:dyDescent="0.4"/>
    <row r="534" s="4" customFormat="1" x14ac:dyDescent="0.4"/>
    <row r="535" s="4" customFormat="1" x14ac:dyDescent="0.4"/>
    <row r="536" s="4" customFormat="1" x14ac:dyDescent="0.4"/>
    <row r="537" s="4" customFormat="1" x14ac:dyDescent="0.4"/>
    <row r="538" s="4" customFormat="1" x14ac:dyDescent="0.4"/>
    <row r="539" s="4" customFormat="1" x14ac:dyDescent="0.4"/>
    <row r="540" s="4" customFormat="1" x14ac:dyDescent="0.4"/>
    <row r="541" s="4" customFormat="1" x14ac:dyDescent="0.4"/>
    <row r="542" s="4" customFormat="1" x14ac:dyDescent="0.4"/>
    <row r="543" s="4" customFormat="1" x14ac:dyDescent="0.4"/>
    <row r="544" s="4" customFormat="1" x14ac:dyDescent="0.4"/>
    <row r="545" s="4" customFormat="1" x14ac:dyDescent="0.4"/>
    <row r="546" s="4" customFormat="1" x14ac:dyDescent="0.4"/>
    <row r="547" s="4" customFormat="1" x14ac:dyDescent="0.4"/>
    <row r="548" s="4" customFormat="1" x14ac:dyDescent="0.4"/>
    <row r="549" s="4" customFormat="1" x14ac:dyDescent="0.4"/>
    <row r="550" s="4" customFormat="1" x14ac:dyDescent="0.4"/>
    <row r="551" s="4" customFormat="1" x14ac:dyDescent="0.4"/>
    <row r="552" s="4" customFormat="1" x14ac:dyDescent="0.4"/>
    <row r="553" s="4" customFormat="1" x14ac:dyDescent="0.4"/>
    <row r="554" s="4" customFormat="1" x14ac:dyDescent="0.4"/>
    <row r="555" s="4" customFormat="1" x14ac:dyDescent="0.4"/>
    <row r="556" s="4" customFormat="1" x14ac:dyDescent="0.4"/>
    <row r="557" s="4" customFormat="1" x14ac:dyDescent="0.4"/>
    <row r="558" s="4" customFormat="1" x14ac:dyDescent="0.4"/>
    <row r="559" s="4" customFormat="1" x14ac:dyDescent="0.4"/>
    <row r="560" s="4" customFormat="1" x14ac:dyDescent="0.4"/>
    <row r="561" s="4" customFormat="1" x14ac:dyDescent="0.4"/>
    <row r="562" s="4" customFormat="1" x14ac:dyDescent="0.4"/>
    <row r="563" s="4" customFormat="1" x14ac:dyDescent="0.4"/>
    <row r="564" s="4" customFormat="1" x14ac:dyDescent="0.4"/>
    <row r="565" s="4" customFormat="1" x14ac:dyDescent="0.4"/>
    <row r="566" s="4" customFormat="1" x14ac:dyDescent="0.4"/>
    <row r="567" s="4" customFormat="1" x14ac:dyDescent="0.4"/>
    <row r="568" s="4" customFormat="1" x14ac:dyDescent="0.4"/>
    <row r="569" s="4" customFormat="1" x14ac:dyDescent="0.4"/>
    <row r="570" s="4" customFormat="1" x14ac:dyDescent="0.4"/>
    <row r="571" s="4" customFormat="1" x14ac:dyDescent="0.4"/>
    <row r="572" s="4" customFormat="1" x14ac:dyDescent="0.4"/>
    <row r="573" s="4" customFormat="1" x14ac:dyDescent="0.4"/>
    <row r="574" s="4" customFormat="1" x14ac:dyDescent="0.4"/>
    <row r="575" s="4" customFormat="1" x14ac:dyDescent="0.4"/>
    <row r="576" s="4" customFormat="1" x14ac:dyDescent="0.4"/>
    <row r="577" s="4" customFormat="1" x14ac:dyDescent="0.4"/>
    <row r="578" s="4" customFormat="1" x14ac:dyDescent="0.4"/>
    <row r="579" s="4" customFormat="1" x14ac:dyDescent="0.4"/>
    <row r="580" s="4" customFormat="1" x14ac:dyDescent="0.4"/>
    <row r="581" s="4" customFormat="1" x14ac:dyDescent="0.4"/>
    <row r="582" s="4" customFormat="1" x14ac:dyDescent="0.4"/>
    <row r="583" s="4" customFormat="1" x14ac:dyDescent="0.4"/>
    <row r="584" s="4" customFormat="1" x14ac:dyDescent="0.4"/>
    <row r="585" s="4" customFormat="1" x14ac:dyDescent="0.4"/>
    <row r="586" s="4" customFormat="1" x14ac:dyDescent="0.4"/>
    <row r="587" s="4" customFormat="1" x14ac:dyDescent="0.4"/>
    <row r="588" s="4" customFormat="1" x14ac:dyDescent="0.4"/>
    <row r="589" s="4" customFormat="1" x14ac:dyDescent="0.4"/>
    <row r="590" s="4" customFormat="1" x14ac:dyDescent="0.4"/>
    <row r="591" s="4" customFormat="1" x14ac:dyDescent="0.4"/>
    <row r="592" s="4" customFormat="1" x14ac:dyDescent="0.4"/>
    <row r="593" s="4" customFormat="1" x14ac:dyDescent="0.4"/>
    <row r="594" s="4" customFormat="1" x14ac:dyDescent="0.4"/>
    <row r="595" s="4" customFormat="1" x14ac:dyDescent="0.4"/>
    <row r="596" s="4" customFormat="1" x14ac:dyDescent="0.4"/>
    <row r="597" s="4" customFormat="1" x14ac:dyDescent="0.4"/>
    <row r="598" s="4" customFormat="1" x14ac:dyDescent="0.4"/>
    <row r="599" s="4" customFormat="1" x14ac:dyDescent="0.4"/>
    <row r="600" s="4" customFormat="1" x14ac:dyDescent="0.4"/>
    <row r="601" s="4" customFormat="1" x14ac:dyDescent="0.4"/>
    <row r="602" s="4" customFormat="1" x14ac:dyDescent="0.4"/>
    <row r="603" s="4" customFormat="1" x14ac:dyDescent="0.4"/>
    <row r="604" s="4" customFormat="1" x14ac:dyDescent="0.4"/>
    <row r="605" s="4" customFormat="1" x14ac:dyDescent="0.4"/>
    <row r="606" s="4" customFormat="1" x14ac:dyDescent="0.4"/>
    <row r="607" s="4" customFormat="1" x14ac:dyDescent="0.4"/>
    <row r="608" s="4" customFormat="1" x14ac:dyDescent="0.4"/>
    <row r="609" s="4" customFormat="1" x14ac:dyDescent="0.4"/>
    <row r="610" s="4" customFormat="1" x14ac:dyDescent="0.4"/>
    <row r="611" s="4" customFormat="1" x14ac:dyDescent="0.4"/>
    <row r="612" s="4" customFormat="1" x14ac:dyDescent="0.4"/>
    <row r="613" s="4" customFormat="1" x14ac:dyDescent="0.4"/>
    <row r="614" s="4" customFormat="1" x14ac:dyDescent="0.4"/>
    <row r="615" s="4" customFormat="1" x14ac:dyDescent="0.4"/>
    <row r="616" s="4" customFormat="1" x14ac:dyDescent="0.4"/>
    <row r="617" s="4" customFormat="1" x14ac:dyDescent="0.4"/>
    <row r="618" s="4" customFormat="1" x14ac:dyDescent="0.4"/>
    <row r="619" s="4" customFormat="1" x14ac:dyDescent="0.4"/>
    <row r="620" s="4" customFormat="1" x14ac:dyDescent="0.4"/>
    <row r="621" s="4" customFormat="1" x14ac:dyDescent="0.4"/>
    <row r="622" s="4" customFormat="1" x14ac:dyDescent="0.4"/>
    <row r="623" s="4" customFormat="1" x14ac:dyDescent="0.4"/>
    <row r="624" s="4" customFormat="1" x14ac:dyDescent="0.4"/>
    <row r="625" s="4" customFormat="1" x14ac:dyDescent="0.4"/>
    <row r="626" s="4" customFormat="1" x14ac:dyDescent="0.4"/>
    <row r="627" s="4" customFormat="1" x14ac:dyDescent="0.4"/>
    <row r="628" s="4" customFormat="1" x14ac:dyDescent="0.4"/>
    <row r="629" s="4" customFormat="1" x14ac:dyDescent="0.4"/>
    <row r="630" s="4" customFormat="1" x14ac:dyDescent="0.4"/>
    <row r="631" s="4" customFormat="1" x14ac:dyDescent="0.4"/>
    <row r="632" s="4" customFormat="1" x14ac:dyDescent="0.4"/>
    <row r="633" s="4" customFormat="1" x14ac:dyDescent="0.4"/>
    <row r="634" s="4" customFormat="1" x14ac:dyDescent="0.4"/>
    <row r="635" s="4" customFormat="1" x14ac:dyDescent="0.4"/>
    <row r="636" s="4" customFormat="1" x14ac:dyDescent="0.4"/>
    <row r="637" s="4" customFormat="1" x14ac:dyDescent="0.4"/>
    <row r="638" s="4" customFormat="1" x14ac:dyDescent="0.4"/>
    <row r="639" s="4" customFormat="1" x14ac:dyDescent="0.4"/>
    <row r="640" s="4" customFormat="1" x14ac:dyDescent="0.4"/>
    <row r="641" s="4" customFormat="1" x14ac:dyDescent="0.4"/>
    <row r="642" s="4" customFormat="1" x14ac:dyDescent="0.4"/>
    <row r="643" s="4" customFormat="1" x14ac:dyDescent="0.4"/>
    <row r="644" s="4" customFormat="1" x14ac:dyDescent="0.4"/>
    <row r="645" s="4" customFormat="1" x14ac:dyDescent="0.4"/>
    <row r="646" s="4" customFormat="1" x14ac:dyDescent="0.4"/>
    <row r="647" s="4" customFormat="1" x14ac:dyDescent="0.4"/>
    <row r="648" s="4" customFormat="1" x14ac:dyDescent="0.4"/>
    <row r="649" s="4" customFormat="1" x14ac:dyDescent="0.4"/>
    <row r="650" s="4" customFormat="1" x14ac:dyDescent="0.4"/>
    <row r="651" s="4" customFormat="1" x14ac:dyDescent="0.4"/>
    <row r="652" s="4" customFormat="1" x14ac:dyDescent="0.4"/>
    <row r="653" s="4" customFormat="1" x14ac:dyDescent="0.4"/>
    <row r="654" s="4" customFormat="1" x14ac:dyDescent="0.4"/>
    <row r="655" s="4" customFormat="1" x14ac:dyDescent="0.4"/>
    <row r="656" s="4" customFormat="1" x14ac:dyDescent="0.4"/>
    <row r="657" s="4" customFormat="1" x14ac:dyDescent="0.4"/>
    <row r="658" s="4" customFormat="1" x14ac:dyDescent="0.4"/>
    <row r="659" s="4" customFormat="1" x14ac:dyDescent="0.4"/>
    <row r="660" s="4" customFormat="1" x14ac:dyDescent="0.4"/>
    <row r="661" s="4" customFormat="1" x14ac:dyDescent="0.4"/>
    <row r="662" s="4" customFormat="1" x14ac:dyDescent="0.4"/>
    <row r="663" s="4" customFormat="1" x14ac:dyDescent="0.4"/>
    <row r="664" s="4" customFormat="1" x14ac:dyDescent="0.4"/>
    <row r="665" s="4" customFormat="1" x14ac:dyDescent="0.4"/>
    <row r="666" s="4" customFormat="1" x14ac:dyDescent="0.4"/>
    <row r="667" s="4" customFormat="1" x14ac:dyDescent="0.4"/>
    <row r="668" s="4" customFormat="1" x14ac:dyDescent="0.4"/>
    <row r="669" s="4" customFormat="1" x14ac:dyDescent="0.4"/>
    <row r="670" s="4" customFormat="1" x14ac:dyDescent="0.4"/>
    <row r="671" s="4" customFormat="1" x14ac:dyDescent="0.4"/>
    <row r="672" s="4" customFormat="1" x14ac:dyDescent="0.4"/>
    <row r="673" s="4" customFormat="1" x14ac:dyDescent="0.4"/>
    <row r="674" s="4" customFormat="1" x14ac:dyDescent="0.4"/>
    <row r="675" s="4" customFormat="1" x14ac:dyDescent="0.4"/>
    <row r="676" s="4" customFormat="1" x14ac:dyDescent="0.4"/>
    <row r="677" s="4" customFormat="1" x14ac:dyDescent="0.4"/>
    <row r="678" s="4" customFormat="1" x14ac:dyDescent="0.4"/>
    <row r="679" s="4" customFormat="1" x14ac:dyDescent="0.4"/>
    <row r="680" s="4" customFormat="1" x14ac:dyDescent="0.4"/>
    <row r="681" s="4" customFormat="1" x14ac:dyDescent="0.4"/>
    <row r="682" s="4" customFormat="1" x14ac:dyDescent="0.4"/>
    <row r="683" s="4" customFormat="1" x14ac:dyDescent="0.4"/>
    <row r="684" s="4" customFormat="1" x14ac:dyDescent="0.4"/>
    <row r="685" s="4" customFormat="1" x14ac:dyDescent="0.4"/>
    <row r="686" s="4" customFormat="1" x14ac:dyDescent="0.4"/>
    <row r="687" s="4" customFormat="1" x14ac:dyDescent="0.4"/>
    <row r="688" s="4" customFormat="1" x14ac:dyDescent="0.4"/>
    <row r="689" s="4" customFormat="1" x14ac:dyDescent="0.4"/>
    <row r="690" s="4" customFormat="1" x14ac:dyDescent="0.4"/>
    <row r="691" s="4" customFormat="1" x14ac:dyDescent="0.4"/>
    <row r="692" s="4" customFormat="1" x14ac:dyDescent="0.4"/>
    <row r="693" s="4" customFormat="1" x14ac:dyDescent="0.4"/>
    <row r="694" s="4" customFormat="1" x14ac:dyDescent="0.4"/>
    <row r="695" s="4" customFormat="1" x14ac:dyDescent="0.4"/>
    <row r="696" s="4" customFormat="1" x14ac:dyDescent="0.4"/>
    <row r="697" s="4" customFormat="1" x14ac:dyDescent="0.4"/>
    <row r="698" s="4" customFormat="1" x14ac:dyDescent="0.4"/>
    <row r="699" s="4" customFormat="1" x14ac:dyDescent="0.4"/>
    <row r="700" s="4" customFormat="1" x14ac:dyDescent="0.4"/>
    <row r="701" s="4" customFormat="1" x14ac:dyDescent="0.4"/>
    <row r="702" s="4" customFormat="1" x14ac:dyDescent="0.4"/>
    <row r="703" s="4" customFormat="1" x14ac:dyDescent="0.4"/>
    <row r="704" s="4" customFormat="1" x14ac:dyDescent="0.4"/>
    <row r="705" s="4" customFormat="1" x14ac:dyDescent="0.4"/>
    <row r="706" s="4" customFormat="1" x14ac:dyDescent="0.4"/>
    <row r="707" s="4" customFormat="1" x14ac:dyDescent="0.4"/>
    <row r="708" s="4" customFormat="1" x14ac:dyDescent="0.4"/>
    <row r="709" s="4" customFormat="1" x14ac:dyDescent="0.4"/>
    <row r="710" s="4" customFormat="1" x14ac:dyDescent="0.4"/>
    <row r="711" s="4" customFormat="1" x14ac:dyDescent="0.4"/>
    <row r="712" s="4" customFormat="1" x14ac:dyDescent="0.4"/>
    <row r="713" s="4" customFormat="1" x14ac:dyDescent="0.4"/>
    <row r="714" s="4" customFormat="1" x14ac:dyDescent="0.4"/>
    <row r="715" s="4" customFormat="1" x14ac:dyDescent="0.4"/>
    <row r="716" s="4" customFormat="1" x14ac:dyDescent="0.4"/>
    <row r="717" s="4" customFormat="1" x14ac:dyDescent="0.4"/>
    <row r="718" s="4" customFormat="1" x14ac:dyDescent="0.4"/>
    <row r="719" s="4" customFormat="1" x14ac:dyDescent="0.4"/>
    <row r="720" s="4" customFormat="1" x14ac:dyDescent="0.4"/>
    <row r="721" s="4" customFormat="1" x14ac:dyDescent="0.4"/>
    <row r="722" s="4" customFormat="1" x14ac:dyDescent="0.4"/>
    <row r="723" s="4" customFormat="1" x14ac:dyDescent="0.4"/>
    <row r="724" s="4" customFormat="1" x14ac:dyDescent="0.4"/>
    <row r="725" s="4" customFormat="1" x14ac:dyDescent="0.4"/>
    <row r="726" s="4" customFormat="1" x14ac:dyDescent="0.4"/>
    <row r="727" s="4" customFormat="1" x14ac:dyDescent="0.4"/>
    <row r="728" s="4" customFormat="1" x14ac:dyDescent="0.4"/>
    <row r="729" s="4" customFormat="1" x14ac:dyDescent="0.4"/>
    <row r="730" s="4" customFormat="1" x14ac:dyDescent="0.4"/>
    <row r="731" s="4" customFormat="1" x14ac:dyDescent="0.4"/>
    <row r="732" s="4" customFormat="1" x14ac:dyDescent="0.4"/>
    <row r="733" s="4" customFormat="1" x14ac:dyDescent="0.4"/>
    <row r="734" s="4" customFormat="1" x14ac:dyDescent="0.4"/>
    <row r="735" s="4" customFormat="1" x14ac:dyDescent="0.4"/>
    <row r="736" s="4" customFormat="1" x14ac:dyDescent="0.4"/>
    <row r="737" s="4" customFormat="1" x14ac:dyDescent="0.4"/>
    <row r="738" s="4" customFormat="1" x14ac:dyDescent="0.4"/>
    <row r="739" s="4" customFormat="1" x14ac:dyDescent="0.4"/>
    <row r="740" s="4" customFormat="1" x14ac:dyDescent="0.4"/>
    <row r="741" s="4" customFormat="1" x14ac:dyDescent="0.4"/>
    <row r="742" s="4" customFormat="1" x14ac:dyDescent="0.4"/>
    <row r="743" s="4" customFormat="1" x14ac:dyDescent="0.4"/>
    <row r="744" s="4" customFormat="1" x14ac:dyDescent="0.4"/>
    <row r="745" s="4" customFormat="1" x14ac:dyDescent="0.4"/>
    <row r="746" s="4" customFormat="1" x14ac:dyDescent="0.4"/>
    <row r="747" s="4" customFormat="1" x14ac:dyDescent="0.4"/>
    <row r="748" s="4" customFormat="1" x14ac:dyDescent="0.4"/>
    <row r="749" s="4" customFormat="1" x14ac:dyDescent="0.4"/>
    <row r="750" s="4" customFormat="1" x14ac:dyDescent="0.4"/>
    <row r="751" s="4" customFormat="1" x14ac:dyDescent="0.4"/>
    <row r="752" s="4" customFormat="1" x14ac:dyDescent="0.4"/>
    <row r="753" s="4" customFormat="1" x14ac:dyDescent="0.4"/>
    <row r="754" s="4" customFormat="1" x14ac:dyDescent="0.4"/>
    <row r="755" s="4" customFormat="1" x14ac:dyDescent="0.4"/>
    <row r="756" s="4" customFormat="1" x14ac:dyDescent="0.4"/>
    <row r="757" s="4" customFormat="1" x14ac:dyDescent="0.4"/>
    <row r="758" s="4" customFormat="1" x14ac:dyDescent="0.4"/>
    <row r="759" s="4" customFormat="1" x14ac:dyDescent="0.4"/>
    <row r="760" s="4" customFormat="1" x14ac:dyDescent="0.4"/>
    <row r="761" s="4" customFormat="1" x14ac:dyDescent="0.4"/>
    <row r="762" s="4" customFormat="1" x14ac:dyDescent="0.4"/>
    <row r="763" s="4" customFormat="1" x14ac:dyDescent="0.4"/>
    <row r="764" s="4" customFormat="1" x14ac:dyDescent="0.4"/>
    <row r="765" s="4" customFormat="1" x14ac:dyDescent="0.4"/>
    <row r="766" s="4" customFormat="1" x14ac:dyDescent="0.4"/>
    <row r="767" s="4" customFormat="1" x14ac:dyDescent="0.4"/>
    <row r="768" s="4" customFormat="1" x14ac:dyDescent="0.4"/>
    <row r="769" s="4" customFormat="1" x14ac:dyDescent="0.4"/>
    <row r="770" s="4" customFormat="1" x14ac:dyDescent="0.4"/>
    <row r="771" s="4" customFormat="1" x14ac:dyDescent="0.4"/>
    <row r="772" s="4" customFormat="1" x14ac:dyDescent="0.4"/>
    <row r="773" s="4" customFormat="1" x14ac:dyDescent="0.4"/>
    <row r="774" s="4" customFormat="1" x14ac:dyDescent="0.4"/>
    <row r="775" s="4" customFormat="1" x14ac:dyDescent="0.4"/>
    <row r="776" s="4" customFormat="1" x14ac:dyDescent="0.4"/>
    <row r="777" s="4" customFormat="1" x14ac:dyDescent="0.4"/>
    <row r="778" s="4" customFormat="1" x14ac:dyDescent="0.4"/>
    <row r="779" s="4" customFormat="1" x14ac:dyDescent="0.4"/>
    <row r="780" s="4" customFormat="1" x14ac:dyDescent="0.4"/>
    <row r="781" s="4" customFormat="1" x14ac:dyDescent="0.4"/>
    <row r="782" s="4" customFormat="1" x14ac:dyDescent="0.4"/>
    <row r="783" s="4" customFormat="1" x14ac:dyDescent="0.4"/>
    <row r="784" s="4" customFormat="1" x14ac:dyDescent="0.4"/>
    <row r="785" s="4" customFormat="1" x14ac:dyDescent="0.4"/>
    <row r="786" s="4" customFormat="1" x14ac:dyDescent="0.4"/>
    <row r="787" s="4" customFormat="1" x14ac:dyDescent="0.4"/>
    <row r="788" s="4" customFormat="1" x14ac:dyDescent="0.4"/>
    <row r="789" s="4" customFormat="1" x14ac:dyDescent="0.4"/>
    <row r="790" s="4" customFormat="1" x14ac:dyDescent="0.4"/>
    <row r="791" s="4" customFormat="1" x14ac:dyDescent="0.4"/>
    <row r="792" s="4" customFormat="1" x14ac:dyDescent="0.4"/>
    <row r="793" s="4" customFormat="1" x14ac:dyDescent="0.4"/>
    <row r="794" s="4" customFormat="1" x14ac:dyDescent="0.4"/>
    <row r="795" s="4" customFormat="1" x14ac:dyDescent="0.4"/>
    <row r="796" s="4" customFormat="1" x14ac:dyDescent="0.4"/>
    <row r="797" s="4" customFormat="1" x14ac:dyDescent="0.4"/>
    <row r="798" s="4" customFormat="1" x14ac:dyDescent="0.4"/>
    <row r="799" s="4" customFormat="1" x14ac:dyDescent="0.4"/>
    <row r="800" s="4" customFormat="1" x14ac:dyDescent="0.4"/>
    <row r="801" s="4" customFormat="1" x14ac:dyDescent="0.4"/>
    <row r="802" s="4" customFormat="1" x14ac:dyDescent="0.4"/>
    <row r="803" s="4" customFormat="1" x14ac:dyDescent="0.4"/>
    <row r="804" s="4" customFormat="1" x14ac:dyDescent="0.4"/>
    <row r="805" s="4" customFormat="1" x14ac:dyDescent="0.4"/>
    <row r="806" s="4" customFormat="1" x14ac:dyDescent="0.4"/>
    <row r="807" s="4" customFormat="1" x14ac:dyDescent="0.4"/>
    <row r="808" s="4" customFormat="1" x14ac:dyDescent="0.4"/>
    <row r="809" s="4" customFormat="1" x14ac:dyDescent="0.4"/>
    <row r="810" s="4" customFormat="1" x14ac:dyDescent="0.4"/>
    <row r="811" s="4" customFormat="1" x14ac:dyDescent="0.4"/>
    <row r="812" s="4" customFormat="1" x14ac:dyDescent="0.4"/>
    <row r="813" s="4" customFormat="1" x14ac:dyDescent="0.4"/>
    <row r="814" s="4" customFormat="1" x14ac:dyDescent="0.4"/>
    <row r="815" s="4" customFormat="1" x14ac:dyDescent="0.4"/>
    <row r="816" s="4" customFormat="1" x14ac:dyDescent="0.4"/>
    <row r="817" s="4" customFormat="1" x14ac:dyDescent="0.4"/>
    <row r="818" s="4" customFormat="1" x14ac:dyDescent="0.4"/>
    <row r="819" s="4" customFormat="1" x14ac:dyDescent="0.4"/>
    <row r="820" s="4" customFormat="1" x14ac:dyDescent="0.4"/>
    <row r="821" s="4" customFormat="1" x14ac:dyDescent="0.4"/>
    <row r="822" s="4" customFormat="1" x14ac:dyDescent="0.4"/>
    <row r="823" s="4" customFormat="1" x14ac:dyDescent="0.4"/>
    <row r="824" s="4" customFormat="1" x14ac:dyDescent="0.4"/>
    <row r="825" s="4" customFormat="1" x14ac:dyDescent="0.4"/>
    <row r="826" s="4" customFormat="1" x14ac:dyDescent="0.4"/>
    <row r="827" s="4" customFormat="1" x14ac:dyDescent="0.4"/>
    <row r="828" s="4" customFormat="1" x14ac:dyDescent="0.4"/>
    <row r="829" s="4" customFormat="1" x14ac:dyDescent="0.4"/>
    <row r="830" s="4" customFormat="1" x14ac:dyDescent="0.4"/>
    <row r="831" s="4" customFormat="1" x14ac:dyDescent="0.4"/>
    <row r="832" s="4" customFormat="1" x14ac:dyDescent="0.4"/>
    <row r="833" s="4" customFormat="1" x14ac:dyDescent="0.4"/>
    <row r="834" s="4" customFormat="1" x14ac:dyDescent="0.4"/>
    <row r="835" s="4" customFormat="1" x14ac:dyDescent="0.4"/>
    <row r="836" s="4" customFormat="1" x14ac:dyDescent="0.4"/>
    <row r="837" s="4" customFormat="1" x14ac:dyDescent="0.4"/>
    <row r="838" s="4" customFormat="1" x14ac:dyDescent="0.4"/>
    <row r="839" s="4" customFormat="1" x14ac:dyDescent="0.4"/>
    <row r="840" s="4" customFormat="1" x14ac:dyDescent="0.4"/>
    <row r="841" s="4" customFormat="1" x14ac:dyDescent="0.4"/>
    <row r="842" s="4" customFormat="1" x14ac:dyDescent="0.4"/>
    <row r="843" s="4" customFormat="1" x14ac:dyDescent="0.4"/>
    <row r="844" s="4" customFormat="1" x14ac:dyDescent="0.4"/>
    <row r="845" s="4" customFormat="1" x14ac:dyDescent="0.4"/>
    <row r="846" s="4" customFormat="1" x14ac:dyDescent="0.4"/>
    <row r="847" s="4" customFormat="1" x14ac:dyDescent="0.4"/>
    <row r="848" s="4" customFormat="1" x14ac:dyDescent="0.4"/>
    <row r="849" s="4" customFormat="1" x14ac:dyDescent="0.4"/>
    <row r="850" s="4" customFormat="1" x14ac:dyDescent="0.4"/>
    <row r="851" s="4" customFormat="1" x14ac:dyDescent="0.4"/>
    <row r="852" s="4" customFormat="1" x14ac:dyDescent="0.4"/>
    <row r="853" s="4" customFormat="1" x14ac:dyDescent="0.4"/>
    <row r="854" s="4" customFormat="1" x14ac:dyDescent="0.4"/>
    <row r="855" s="4" customFormat="1" x14ac:dyDescent="0.4"/>
    <row r="856" s="4" customFormat="1" x14ac:dyDescent="0.4"/>
    <row r="857" s="4" customFormat="1" x14ac:dyDescent="0.4"/>
    <row r="858" s="4" customFormat="1" x14ac:dyDescent="0.4"/>
    <row r="859" s="4" customFormat="1" x14ac:dyDescent="0.4"/>
    <row r="860" s="4" customFormat="1" x14ac:dyDescent="0.4"/>
    <row r="861" s="4" customFormat="1" x14ac:dyDescent="0.4"/>
    <row r="862" s="4" customFormat="1" x14ac:dyDescent="0.4"/>
    <row r="863" s="4" customFormat="1" x14ac:dyDescent="0.4"/>
    <row r="864" s="4" customFormat="1" x14ac:dyDescent="0.4"/>
    <row r="865" s="4" customFormat="1" x14ac:dyDescent="0.4"/>
    <row r="866" s="4" customFormat="1" x14ac:dyDescent="0.4"/>
    <row r="867" s="4" customFormat="1" x14ac:dyDescent="0.4"/>
    <row r="868" s="4" customFormat="1" x14ac:dyDescent="0.4"/>
    <row r="869" s="4" customFormat="1" x14ac:dyDescent="0.4"/>
    <row r="870" s="4" customFormat="1" x14ac:dyDescent="0.4"/>
    <row r="871" s="4" customFormat="1" x14ac:dyDescent="0.4"/>
    <row r="872" s="4" customFormat="1" x14ac:dyDescent="0.4"/>
    <row r="873" s="4" customFormat="1" x14ac:dyDescent="0.4"/>
    <row r="874" s="4" customFormat="1" x14ac:dyDescent="0.4"/>
    <row r="875" s="4" customFormat="1" x14ac:dyDescent="0.4"/>
    <row r="876" s="4" customFormat="1" x14ac:dyDescent="0.4"/>
    <row r="877" s="4" customFormat="1" x14ac:dyDescent="0.4"/>
    <row r="878" s="4" customFormat="1" x14ac:dyDescent="0.4"/>
    <row r="879" s="4" customFormat="1" x14ac:dyDescent="0.4"/>
    <row r="880" s="4" customFormat="1" x14ac:dyDescent="0.4"/>
    <row r="881" s="4" customFormat="1" x14ac:dyDescent="0.4"/>
    <row r="882" s="4" customFormat="1" x14ac:dyDescent="0.4"/>
    <row r="883" s="4" customFormat="1" x14ac:dyDescent="0.4"/>
    <row r="884" s="4" customFormat="1" x14ac:dyDescent="0.4"/>
    <row r="885" s="4" customFormat="1" x14ac:dyDescent="0.4"/>
    <row r="886" s="4" customFormat="1" x14ac:dyDescent="0.4"/>
    <row r="887" s="4" customFormat="1" x14ac:dyDescent="0.4"/>
    <row r="888" s="4" customFormat="1" x14ac:dyDescent="0.4"/>
    <row r="889" s="4" customFormat="1" x14ac:dyDescent="0.4"/>
    <row r="890" s="4" customFormat="1" x14ac:dyDescent="0.4"/>
    <row r="891" s="4" customFormat="1" x14ac:dyDescent="0.4"/>
    <row r="892" s="4" customFormat="1" x14ac:dyDescent="0.4"/>
    <row r="893" s="4" customFormat="1" x14ac:dyDescent="0.4"/>
    <row r="894" s="4" customFormat="1" x14ac:dyDescent="0.4"/>
    <row r="895" s="4" customFormat="1" x14ac:dyDescent="0.4"/>
    <row r="896" s="4" customFormat="1" x14ac:dyDescent="0.4"/>
    <row r="897" s="4" customFormat="1" x14ac:dyDescent="0.4"/>
    <row r="898" s="4" customFormat="1" x14ac:dyDescent="0.4"/>
    <row r="899" s="4" customFormat="1" x14ac:dyDescent="0.4"/>
    <row r="900" s="4" customFormat="1" x14ac:dyDescent="0.4"/>
    <row r="901" s="4" customFormat="1" x14ac:dyDescent="0.4"/>
    <row r="902" s="4" customFormat="1" x14ac:dyDescent="0.4"/>
    <row r="903" s="4" customFormat="1" x14ac:dyDescent="0.4"/>
    <row r="904" s="4" customFormat="1" x14ac:dyDescent="0.4"/>
    <row r="905" s="4" customFormat="1" x14ac:dyDescent="0.4"/>
    <row r="906" s="4" customFormat="1" x14ac:dyDescent="0.4"/>
    <row r="907" s="4" customFormat="1" x14ac:dyDescent="0.4"/>
    <row r="908" s="4" customFormat="1" x14ac:dyDescent="0.4"/>
    <row r="909" s="4" customFormat="1" x14ac:dyDescent="0.4"/>
    <row r="910" s="4" customFormat="1" x14ac:dyDescent="0.4"/>
    <row r="911" s="4" customFormat="1" x14ac:dyDescent="0.4"/>
    <row r="912" s="4" customFormat="1" x14ac:dyDescent="0.4"/>
    <row r="913" s="4" customFormat="1" x14ac:dyDescent="0.4"/>
    <row r="914" s="4" customFormat="1" x14ac:dyDescent="0.4"/>
    <row r="915" s="4" customFormat="1" x14ac:dyDescent="0.4"/>
    <row r="916" s="4" customFormat="1" x14ac:dyDescent="0.4"/>
    <row r="917" s="4" customFormat="1" x14ac:dyDescent="0.4"/>
    <row r="918" s="4" customFormat="1" x14ac:dyDescent="0.4"/>
    <row r="919" s="4" customFormat="1" x14ac:dyDescent="0.4"/>
    <row r="920" s="4" customFormat="1" x14ac:dyDescent="0.4"/>
    <row r="921" s="4" customFormat="1" x14ac:dyDescent="0.4"/>
    <row r="922" s="4" customFormat="1" x14ac:dyDescent="0.4"/>
    <row r="923" s="4" customFormat="1" x14ac:dyDescent="0.4"/>
    <row r="924" s="4" customFormat="1" x14ac:dyDescent="0.4"/>
    <row r="925" s="4" customFormat="1" x14ac:dyDescent="0.4"/>
    <row r="926" s="4" customFormat="1" x14ac:dyDescent="0.4"/>
    <row r="927" s="4" customFormat="1" x14ac:dyDescent="0.4"/>
    <row r="928" s="4" customFormat="1" x14ac:dyDescent="0.4"/>
    <row r="929" s="4" customFormat="1" x14ac:dyDescent="0.4"/>
    <row r="930" s="4" customFormat="1" x14ac:dyDescent="0.4"/>
    <row r="931" s="4" customFormat="1" x14ac:dyDescent="0.4"/>
    <row r="932" s="4" customFormat="1" x14ac:dyDescent="0.4"/>
    <row r="933" s="4" customFormat="1" x14ac:dyDescent="0.4"/>
    <row r="934" s="4" customFormat="1" x14ac:dyDescent="0.4"/>
    <row r="935" s="4" customFormat="1" x14ac:dyDescent="0.4"/>
    <row r="936" s="4" customFormat="1" x14ac:dyDescent="0.4"/>
    <row r="937" s="4" customFormat="1" x14ac:dyDescent="0.4"/>
    <row r="938" s="4" customFormat="1" x14ac:dyDescent="0.4"/>
    <row r="939" s="4" customFormat="1" x14ac:dyDescent="0.4"/>
    <row r="940" s="4" customFormat="1" x14ac:dyDescent="0.4"/>
    <row r="941" s="4" customFormat="1" x14ac:dyDescent="0.4"/>
    <row r="942" s="4" customFormat="1" x14ac:dyDescent="0.4"/>
    <row r="943" s="4" customFormat="1" x14ac:dyDescent="0.4"/>
    <row r="944" s="4" customFormat="1" x14ac:dyDescent="0.4"/>
    <row r="945" s="4" customFormat="1" x14ac:dyDescent="0.4"/>
    <row r="946" s="4" customFormat="1" x14ac:dyDescent="0.4"/>
    <row r="947" s="4" customFormat="1" x14ac:dyDescent="0.4"/>
    <row r="948" s="4" customFormat="1" x14ac:dyDescent="0.4"/>
    <row r="949" s="4" customFormat="1" x14ac:dyDescent="0.4"/>
    <row r="950" s="4" customFormat="1" x14ac:dyDescent="0.4"/>
    <row r="951" s="4" customFormat="1" x14ac:dyDescent="0.4"/>
    <row r="952" s="4" customFormat="1" x14ac:dyDescent="0.4"/>
    <row r="953" s="4" customFormat="1" x14ac:dyDescent="0.4"/>
    <row r="954" s="4" customFormat="1" x14ac:dyDescent="0.4"/>
    <row r="955" s="4" customFormat="1" x14ac:dyDescent="0.4"/>
    <row r="956" s="4" customFormat="1" x14ac:dyDescent="0.4"/>
    <row r="957" s="4" customFormat="1" x14ac:dyDescent="0.4"/>
    <row r="958" s="4" customFormat="1" x14ac:dyDescent="0.4"/>
    <row r="959" s="4" customFormat="1" x14ac:dyDescent="0.4"/>
    <row r="960" s="4" customFormat="1" x14ac:dyDescent="0.4"/>
    <row r="961" s="4" customFormat="1" x14ac:dyDescent="0.4"/>
    <row r="962" s="4" customFormat="1" x14ac:dyDescent="0.4"/>
    <row r="963" s="4" customFormat="1" x14ac:dyDescent="0.4"/>
    <row r="964" s="4" customFormat="1" x14ac:dyDescent="0.4"/>
    <row r="965" s="4" customFormat="1" x14ac:dyDescent="0.4"/>
    <row r="966" s="4" customFormat="1" x14ac:dyDescent="0.4"/>
    <row r="967" s="4" customFormat="1" x14ac:dyDescent="0.4"/>
    <row r="968" s="4" customFormat="1" x14ac:dyDescent="0.4"/>
    <row r="969" s="4" customFormat="1" x14ac:dyDescent="0.4"/>
    <row r="970" s="4" customFormat="1" x14ac:dyDescent="0.4"/>
    <row r="971" s="4" customFormat="1" x14ac:dyDescent="0.4"/>
    <row r="972" s="4" customFormat="1" x14ac:dyDescent="0.4"/>
    <row r="973" s="4" customFormat="1" x14ac:dyDescent="0.4"/>
    <row r="974" s="4" customFormat="1" x14ac:dyDescent="0.4"/>
    <row r="975" s="4" customFormat="1" x14ac:dyDescent="0.4"/>
    <row r="976" s="4" customFormat="1" x14ac:dyDescent="0.4"/>
    <row r="977" s="4" customFormat="1" x14ac:dyDescent="0.4"/>
    <row r="978" s="4" customFormat="1" x14ac:dyDescent="0.4"/>
    <row r="979" s="4" customFormat="1" x14ac:dyDescent="0.4"/>
    <row r="980" s="4" customFormat="1" x14ac:dyDescent="0.4"/>
    <row r="981" s="4" customFormat="1" x14ac:dyDescent="0.4"/>
    <row r="982" s="4" customFormat="1" x14ac:dyDescent="0.4"/>
    <row r="983" s="4" customFormat="1" x14ac:dyDescent="0.4"/>
    <row r="984" s="4" customFormat="1" x14ac:dyDescent="0.4"/>
    <row r="985" s="4" customFormat="1" x14ac:dyDescent="0.4"/>
    <row r="986" s="4" customFormat="1" x14ac:dyDescent="0.4"/>
    <row r="987" s="4" customFormat="1" x14ac:dyDescent="0.4"/>
    <row r="988" s="4" customFormat="1" x14ac:dyDescent="0.4"/>
    <row r="989" s="4" customFormat="1" x14ac:dyDescent="0.4"/>
    <row r="990" s="4" customFormat="1" x14ac:dyDescent="0.4"/>
    <row r="991" s="4" customFormat="1" x14ac:dyDescent="0.4"/>
    <row r="992" s="4" customFormat="1" x14ac:dyDescent="0.4"/>
    <row r="993" s="4" customFormat="1" x14ac:dyDescent="0.4"/>
    <row r="994" s="4" customFormat="1" x14ac:dyDescent="0.4"/>
    <row r="995" s="4" customFormat="1" x14ac:dyDescent="0.4"/>
    <row r="996" s="4" customFormat="1" x14ac:dyDescent="0.4"/>
    <row r="997" s="4" customFormat="1" x14ac:dyDescent="0.4"/>
    <row r="998" s="4" customFormat="1" x14ac:dyDescent="0.4"/>
    <row r="999" s="4" customFormat="1" x14ac:dyDescent="0.4"/>
    <row r="1000" s="4" customFormat="1" x14ac:dyDescent="0.4"/>
  </sheetData>
  <dataConsolidate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21337-D321-4A2A-BE70-EC1DBA9506B6}">
  <sheetPr codeName="Foglio1"/>
  <dimension ref="A1"/>
  <sheetViews>
    <sheetView zoomScale="85" zoomScaleNormal="85" workbookViewId="0">
      <selection activeCell="M22" sqref="M22"/>
    </sheetView>
  </sheetViews>
  <sheetFormatPr defaultRowHeight="14.5" x14ac:dyDescent="0.4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CompleteAnalysis</vt:lpstr>
      <vt:lpstr>UNIT</vt:lpstr>
      <vt:lpstr>BOZZA TOOL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Roberto Bruni</dc:creator>
  <cp:lastModifiedBy>Erik De Luca</cp:lastModifiedBy>
  <dcterms:created xsi:type="dcterms:W3CDTF">2023-02-06T11:04:26Z</dcterms:created>
  <dcterms:modified xsi:type="dcterms:W3CDTF">2025-05-20T12:18:10Z</dcterms:modified>
</cp:coreProperties>
</file>